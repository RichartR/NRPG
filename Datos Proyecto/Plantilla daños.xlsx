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il Ninja" sheetId="1" r:id="rId4"/>
    <sheet state="visible" name="Combinaciones STATS" sheetId="2" r:id="rId5"/>
    <sheet state="visible" name="Datos" sheetId="3" r:id="rId6"/>
  </sheets>
  <definedNames/>
  <calcPr/>
  <extLst>
    <ext uri="GoogleSheetsCustomDataVersion2">
      <go:sheetsCustomData xmlns:go="http://customooxmlschemas.google.com/" r:id="rId7" roundtripDataChecksum="BFH7tVuyD2mvvIM9fUdROF8MPzbkvlgfiRQh2OylFzg="/>
    </ext>
  </extLst>
</workbook>
</file>

<file path=xl/sharedStrings.xml><?xml version="1.0" encoding="utf-8"?>
<sst xmlns="http://schemas.openxmlformats.org/spreadsheetml/2006/main" count="314" uniqueCount="159">
  <si>
    <t>STATS</t>
  </si>
  <si>
    <t>ATRIBUTOS</t>
  </si>
  <si>
    <t>ESTADÍSTICAS</t>
  </si>
  <si>
    <t>PASO TURNO</t>
  </si>
  <si>
    <t>Resistencias Elementales (20%)</t>
  </si>
  <si>
    <t>NIN</t>
  </si>
  <si>
    <t>Vitalidad (VIT)</t>
  </si>
  <si>
    <t>Elemento</t>
  </si>
  <si>
    <t>Fuerte</t>
  </si>
  <si>
    <t>Débil</t>
  </si>
  <si>
    <t>TAI</t>
  </si>
  <si>
    <t>Chakra (CH)</t>
  </si>
  <si>
    <t>Suiton</t>
  </si>
  <si>
    <t>Katon</t>
  </si>
  <si>
    <t>Doton</t>
  </si>
  <si>
    <t>GEN</t>
  </si>
  <si>
    <t>Velocidad (VEL)</t>
  </si>
  <si>
    <t>Añadir casilla de cuántas veces has evadido para añadir +1 de CD</t>
  </si>
  <si>
    <t>Fuuton</t>
  </si>
  <si>
    <t>INT</t>
  </si>
  <si>
    <t>Resistencia (RES)</t>
  </si>
  <si>
    <t>Añadir equipamiento y efectos</t>
  </si>
  <si>
    <t>Raiton</t>
  </si>
  <si>
    <t>FUE</t>
  </si>
  <si>
    <t>Reacción (REA)</t>
  </si>
  <si>
    <t>Multiplicar por 50 el STAT. 10 x 50 = 500</t>
  </si>
  <si>
    <t>AGI</t>
  </si>
  <si>
    <t>Detección (DET)</t>
  </si>
  <si>
    <t>EST</t>
  </si>
  <si>
    <t>SM</t>
  </si>
  <si>
    <t>TOTAL</t>
  </si>
  <si>
    <t>LISTA DE COMBATE</t>
  </si>
  <si>
    <t>Falta mirar cuanta vel tenemos por AGI o TAI</t>
  </si>
  <si>
    <t>Puntos</t>
  </si>
  <si>
    <t>Min STAT</t>
  </si>
  <si>
    <t>Max STAT</t>
  </si>
  <si>
    <t>Restricciones STAT</t>
  </si>
  <si>
    <t>Rango D</t>
  </si>
  <si>
    <t>8 - 15</t>
  </si>
  <si>
    <t>3 al 3</t>
  </si>
  <si>
    <t>Rango C</t>
  </si>
  <si>
    <t>16 - 20</t>
  </si>
  <si>
    <t>2 al 4</t>
  </si>
  <si>
    <t>Rango B</t>
  </si>
  <si>
    <t>21 - 25</t>
  </si>
  <si>
    <t>2 al 5</t>
  </si>
  <si>
    <t>Rango A</t>
  </si>
  <si>
    <t>26 - 35</t>
  </si>
  <si>
    <t>1 al 6</t>
  </si>
  <si>
    <t>Rango S</t>
  </si>
  <si>
    <t>35 - 45</t>
  </si>
  <si>
    <t>1 al 9 y 1 al 8</t>
  </si>
  <si>
    <t>Opción 1</t>
  </si>
  <si>
    <t>Perfil NIN</t>
  </si>
  <si>
    <t>1/2/3 ELEMENTOS</t>
  </si>
  <si>
    <t>Perfil GEN</t>
  </si>
  <si>
    <t>Perfil ARMAS/TAI FUE/AGI</t>
  </si>
  <si>
    <t>Opción 2</t>
  </si>
  <si>
    <t>Rango</t>
  </si>
  <si>
    <t>STAT</t>
  </si>
  <si>
    <t>VIT BASE</t>
  </si>
  <si>
    <t>CH BASE</t>
  </si>
  <si>
    <t>TOTAL STATS</t>
  </si>
  <si>
    <t>RES</t>
  </si>
  <si>
    <t>REF / PER</t>
  </si>
  <si>
    <t>D</t>
  </si>
  <si>
    <t>C</t>
  </si>
  <si>
    <t>B</t>
  </si>
  <si>
    <t>A</t>
  </si>
  <si>
    <t>S</t>
  </si>
  <si>
    <t>Cada 2 puntos de AGI = 1 VEL</t>
  </si>
  <si>
    <t>Mult. FUE</t>
  </si>
  <si>
    <t>Mult. EST</t>
  </si>
  <si>
    <t>Rango puntos</t>
  </si>
  <si>
    <t>VIT min</t>
  </si>
  <si>
    <t>VIT media</t>
  </si>
  <si>
    <t>VIT max</t>
  </si>
  <si>
    <t>CH min</t>
  </si>
  <si>
    <t>CH medio</t>
  </si>
  <si>
    <t>CH max</t>
  </si>
  <si>
    <t>Golpes</t>
  </si>
  <si>
    <t>16 - 30</t>
  </si>
  <si>
    <t>31 - 45</t>
  </si>
  <si>
    <t>46 - 55</t>
  </si>
  <si>
    <t>56 - 65</t>
  </si>
  <si>
    <t>Daño</t>
  </si>
  <si>
    <t>El stat se multiplica por:</t>
  </si>
  <si>
    <t>Reducción area</t>
  </si>
  <si>
    <t>Rango D/C</t>
  </si>
  <si>
    <t>Rango B/A</t>
  </si>
  <si>
    <t>Rango A/S</t>
  </si>
  <si>
    <t>Indirectos</t>
  </si>
  <si>
    <t>Leve</t>
  </si>
  <si>
    <t>Ninjutsu elemental</t>
  </si>
  <si>
    <t>Multiplicador</t>
  </si>
  <si>
    <t>Medio</t>
  </si>
  <si>
    <t>Maestro Nin, Kaze</t>
  </si>
  <si>
    <t>Área</t>
  </si>
  <si>
    <t>Futton, Kazan</t>
  </si>
  <si>
    <t>CD</t>
  </si>
  <si>
    <t>Especial</t>
  </si>
  <si>
    <t>Shakuton, Amaterasu, Rasenshuriken, veneno Rokubi, Torune</t>
  </si>
  <si>
    <r>
      <rPr>
        <rFont val="Arial"/>
        <color theme="1"/>
      </rPr>
      <t xml:space="preserve">Daño de un </t>
    </r>
    <r>
      <rPr>
        <rFont val="Arial"/>
        <b/>
        <color theme="1"/>
      </rPr>
      <t>STAT * A</t>
    </r>
    <r>
      <rPr>
        <rFont val="Arial"/>
        <color theme="1"/>
      </rPr>
      <t xml:space="preserve"> + </t>
    </r>
    <r>
      <rPr>
        <rFont val="Arial"/>
        <b/>
        <color theme="1"/>
      </rPr>
      <t>STAT * B</t>
    </r>
  </si>
  <si>
    <t>(Especificar que se puede agrupar en un stat para hacer STAT de 10 * multiplicador)</t>
  </si>
  <si>
    <t>Reducción de def</t>
  </si>
  <si>
    <t>Multiplicador STAT A</t>
  </si>
  <si>
    <t>Multiplicador STAT B</t>
  </si>
  <si>
    <t>Chidori</t>
  </si>
  <si>
    <t>CH</t>
  </si>
  <si>
    <t>Suplementarias</t>
  </si>
  <si>
    <t>CH base</t>
  </si>
  <si>
    <t>NIN/GEN</t>
  </si>
  <si>
    <t>(Aprox. 25%)</t>
  </si>
  <si>
    <t>TAI/ARMAS</t>
  </si>
  <si>
    <t>(Aprox. 15%)</t>
  </si>
  <si>
    <t>Anticipación</t>
  </si>
  <si>
    <t>Anticipación de desplazamiento</t>
  </si>
  <si>
    <t>Efecto de control (cc)</t>
  </si>
  <si>
    <t>20 (1ra acción) + 10 por acción</t>
  </si>
  <si>
    <t>Efectos</t>
  </si>
  <si>
    <t>CH extra</t>
  </si>
  <si>
    <t>Posición alzada</t>
  </si>
  <si>
    <t>15 (1ra acción) + 10 por acción</t>
  </si>
  <si>
    <t>Requiere defender un ángulo (Coste por cada ángulo adicional) / Indirecto / Desplazar / Eliminar terrnos menores (Mojado)</t>
  </si>
  <si>
    <t>Posición voladora</t>
  </si>
  <si>
    <t>Efecto de control - condición (1 - 2T) / Derribar / Contraataque - Anticipación / Multiplicador 20% / Eliminar terrnos medios (Inundado)</t>
  </si>
  <si>
    <t>Contrataque</t>
  </si>
  <si>
    <t>Persecutorio / Efecto de condición - Efecto de control (+3T) / Efecto a varios objetivos / Multiplicador y modificación área de efecto</t>
  </si>
  <si>
    <t>ÁREAS</t>
  </si>
  <si>
    <r>
      <rPr>
        <rFont val="Arial"/>
        <color theme="1"/>
        <sz val="11.0"/>
      </rPr>
      <t xml:space="preserve">Con áreas amplias: cualquier Área 4 o superior sobre objetivo, Cónico 4 o superior y cualquier 4x4 o superior ve su daño reducido entre un </t>
    </r>
    <r>
      <rPr>
        <rFont val="Arial"/>
        <b/>
        <color theme="1"/>
        <sz val="11.0"/>
      </rPr>
      <t>20% [x0.8] (Ver daño)</t>
    </r>
  </si>
  <si>
    <t>Cuanto mayor sea el área menor debe ser el daño (en cocherencia con la técnica)</t>
  </si>
  <si>
    <t>Por ejemplo, una técnica B con área amplia (5x5) en vez de 125 de daño podría ser 110 o hasta 100</t>
  </si>
  <si>
    <t>ALCANCES</t>
  </si>
  <si>
    <t>CASILLAS</t>
  </si>
  <si>
    <t>Corto</t>
  </si>
  <si>
    <t>Largo</t>
  </si>
  <si>
    <t>6+</t>
  </si>
  <si>
    <t>Armas</t>
  </si>
  <si>
    <t>Daño base</t>
  </si>
  <si>
    <t>Venenos</t>
  </si>
  <si>
    <t>Shuriken</t>
  </si>
  <si>
    <t>Fuuma Shuriken</t>
  </si>
  <si>
    <t>Kunai</t>
  </si>
  <si>
    <t>Kibaku Fuuda</t>
  </si>
  <si>
    <t>Makibishi</t>
  </si>
  <si>
    <t>Senbon</t>
  </si>
  <si>
    <t>Tantou</t>
  </si>
  <si>
    <t>Katana</t>
  </si>
  <si>
    <t>Kusarigama</t>
  </si>
  <si>
    <t>Bo</t>
  </si>
  <si>
    <t>Doble arma: Requieren consumir 1 acción para cambiarse de armas. No pueden utilizarse técnicas que requieran sellos manuales</t>
  </si>
  <si>
    <t>Cada doble arma tiene su versión individual</t>
  </si>
  <si>
    <t>Doble Kunai</t>
  </si>
  <si>
    <t>Doble Fuuma Shuriken</t>
  </si>
  <si>
    <t>Doble Katana</t>
  </si>
  <si>
    <t>Especiales</t>
  </si>
  <si>
    <t>Hien</t>
  </si>
  <si>
    <t>Kiba</t>
  </si>
  <si>
    <t>Hiramekarei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</si>
</sst>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6">
    <font>
      <sz val="11.0"/>
      <color theme="1"/>
      <name val="Aptos Narrow"/>
      <scheme val="minor"/>
    </font>
    <font>
      <b/>
      <sz val="10.0"/>
      <color theme="0"/>
      <name val="Arial"/>
    </font>
    <font/>
    <font>
      <sz val="11.0"/>
      <color theme="1"/>
      <name val="Aptos Narrow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b/>
      <sz val="11.0"/>
      <color theme="1"/>
      <name val="Aptos Narrow"/>
    </font>
    <font>
      <b/>
      <color rgb="FF000000"/>
      <name val="Arial"/>
    </font>
    <font>
      <color rgb="FF000000"/>
      <name val="Arial"/>
    </font>
    <font>
      <b/>
      <color theme="1"/>
      <name val="Aptos Narrow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E8E8E8"/>
        <bgColor rgb="FFE8E8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AEAEAE"/>
        <bgColor rgb="FFAEAEAE"/>
      </patternFill>
    </fill>
    <fill>
      <patternFill patternType="solid">
        <fgColor rgb="FFCBD2F5"/>
        <bgColor rgb="FFCBD2F5"/>
      </patternFill>
    </fill>
    <fill>
      <patternFill patternType="solid">
        <fgColor rgb="FFB1739B"/>
        <bgColor rgb="FFB1739B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</fills>
  <borders count="9">
    <border/>
    <border>
      <left/>
      <top/>
      <bottom/>
    </border>
    <border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0" fillId="0" fontId="3" numFmtId="0" xfId="0" applyFont="1"/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5" fillId="3" fontId="4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4" fontId="4" numFmtId="0" xfId="0" applyAlignment="1" applyBorder="1" applyFill="1" applyFont="1">
      <alignment horizontal="center" readingOrder="0" vertical="center"/>
    </xf>
    <xf borderId="8" fillId="5" fontId="5" numFmtId="0" xfId="0" applyAlignment="1" applyBorder="1" applyFill="1" applyFont="1">
      <alignment horizontal="center" readingOrder="0" vertical="center"/>
    </xf>
    <xf borderId="8" fillId="6" fontId="4" numFmtId="0" xfId="0" applyAlignment="1" applyBorder="1" applyFill="1" applyFont="1">
      <alignment shrinkToFit="0" wrapText="1"/>
    </xf>
    <xf borderId="8" fillId="5" fontId="3" numFmtId="0" xfId="0" applyAlignment="1" applyBorder="1" applyFont="1">
      <alignment horizontal="center"/>
    </xf>
    <xf borderId="8" fillId="7" fontId="4" numFmtId="0" xfId="0" applyAlignment="1" applyBorder="1" applyFill="1" applyFont="1">
      <alignment horizontal="center" vertical="center"/>
    </xf>
    <xf borderId="8" fillId="8" fontId="4" numFmtId="0" xfId="0" applyAlignment="1" applyBorder="1" applyFill="1" applyFont="1">
      <alignment horizontal="center" readingOrder="0" vertical="center"/>
    </xf>
    <xf borderId="8" fillId="9" fontId="4" numFmtId="0" xfId="0" applyAlignment="1" applyBorder="1" applyFill="1" applyFont="1">
      <alignment shrinkToFit="0" wrapText="1"/>
    </xf>
    <xf borderId="8" fillId="5" fontId="5" numFmtId="0" xfId="0" applyAlignment="1" applyBorder="1" applyFont="1">
      <alignment horizontal="center" shrinkToFit="0" wrapText="1"/>
    </xf>
    <xf borderId="8" fillId="10" fontId="4" numFmtId="0" xfId="0" applyAlignment="1" applyBorder="1" applyFill="1" applyFont="1">
      <alignment horizontal="center" vertical="center"/>
    </xf>
    <xf borderId="8" fillId="4" fontId="4" numFmtId="0" xfId="0" applyAlignment="1" applyBorder="1" applyFont="1">
      <alignment horizontal="center" vertical="center"/>
    </xf>
    <xf borderId="8" fillId="8" fontId="4" numFmtId="0" xfId="0" applyAlignment="1" applyBorder="1" applyFont="1">
      <alignment horizontal="center" vertical="center"/>
    </xf>
    <xf borderId="8" fillId="11" fontId="4" numFmtId="0" xfId="0" applyAlignment="1" applyBorder="1" applyFill="1" applyFont="1">
      <alignment horizontal="center" readingOrder="0" vertical="center"/>
    </xf>
    <xf borderId="8" fillId="12" fontId="4" numFmtId="0" xfId="0" applyAlignment="1" applyBorder="1" applyFill="1" applyFont="1">
      <alignment shrinkToFit="0" wrapText="1"/>
    </xf>
    <xf borderId="8" fillId="5" fontId="6" numFmtId="0" xfId="0" applyAlignment="1" applyBorder="1" applyFont="1">
      <alignment horizontal="center" shrinkToFit="0" wrapText="1"/>
    </xf>
    <xf borderId="8" fillId="13" fontId="4" numFmtId="0" xfId="0" applyAlignment="1" applyBorder="1" applyFill="1" applyFont="1">
      <alignment horizontal="center" vertical="center"/>
    </xf>
    <xf borderId="8" fillId="10" fontId="4" numFmtId="0" xfId="0" applyAlignment="1" applyBorder="1" applyFont="1">
      <alignment horizontal="center" readingOrder="0" vertical="center"/>
    </xf>
    <xf borderId="8" fillId="4" fontId="4" numFmtId="0" xfId="0" applyAlignment="1" applyBorder="1" applyFont="1">
      <alignment shrinkToFit="0" wrapText="1"/>
    </xf>
    <xf borderId="8" fillId="11" fontId="4" numFmtId="0" xfId="0" applyAlignment="1" applyBorder="1" applyFont="1">
      <alignment horizontal="center" vertical="center"/>
    </xf>
    <xf borderId="8" fillId="14" fontId="4" numFmtId="0" xfId="0" applyAlignment="1" applyBorder="1" applyFill="1" applyFont="1">
      <alignment horizontal="center" readingOrder="0" shrinkToFit="0" vertical="center" wrapText="1"/>
    </xf>
    <xf borderId="8" fillId="11" fontId="4" numFmtId="0" xfId="0" applyAlignment="1" applyBorder="1" applyFont="1">
      <alignment shrinkToFit="0" wrapText="1"/>
    </xf>
    <xf borderId="0" fillId="0" fontId="5" numFmtId="0" xfId="0" applyAlignment="1" applyFont="1">
      <alignment readingOrder="0"/>
    </xf>
    <xf borderId="8" fillId="13" fontId="4" numFmtId="0" xfId="0" applyAlignment="1" applyBorder="1" applyFont="1">
      <alignment horizontal="center" readingOrder="0" vertical="center"/>
    </xf>
    <xf borderId="8" fillId="14" fontId="4" numFmtId="0" xfId="0" applyAlignment="1" applyBorder="1" applyFont="1">
      <alignment shrinkToFit="0" wrapText="1"/>
    </xf>
    <xf borderId="8" fillId="15" fontId="4" numFmtId="0" xfId="0" applyAlignment="1" applyBorder="1" applyFill="1" applyFont="1">
      <alignment horizontal="center" readingOrder="0" shrinkToFit="0" vertical="center" wrapText="1"/>
    </xf>
    <xf borderId="8" fillId="16" fontId="4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wrapText="1"/>
    </xf>
    <xf borderId="8" fillId="5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0" fillId="17" fontId="9" numFmtId="0" xfId="0" applyAlignment="1" applyFill="1" applyFont="1">
      <alignment readingOrder="0"/>
    </xf>
    <xf borderId="0" fillId="17" fontId="9" numFmtId="0" xfId="0" applyAlignment="1" applyFont="1">
      <alignment horizontal="center" readingOrder="0"/>
    </xf>
    <xf borderId="0" fillId="17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18" fontId="5" numFmtId="0" xfId="0" applyAlignment="1" applyFill="1" applyFont="1">
      <alignment horizontal="center" readingOrder="0"/>
    </xf>
    <xf borderId="0" fillId="18" fontId="10" numFmtId="0" xfId="0" applyAlignment="1" applyFont="1">
      <alignment horizontal="center" readingOrder="0"/>
    </xf>
    <xf borderId="0" fillId="18" fontId="5" numFmtId="0" xfId="0" applyAlignment="1" applyFont="1">
      <alignment horizontal="center" readingOrder="0" vertical="center"/>
    </xf>
    <xf borderId="0" fillId="17" fontId="5" numFmtId="0" xfId="0" applyAlignment="1" applyFont="1">
      <alignment horizontal="center" readingOrder="0" vertical="center"/>
    </xf>
    <xf borderId="8" fillId="19" fontId="5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11" numFmtId="1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0" fontId="13" numFmtId="0" xfId="0" applyAlignment="1" applyFill="1" applyFont="1">
      <alignment horizontal="center" readingOrder="0" shrinkToFit="0" vertical="bottom" wrapText="0"/>
    </xf>
    <xf borderId="0" fillId="10" fontId="13" numFmtId="0" xfId="0" applyAlignment="1" applyFont="1">
      <alignment horizontal="center" readingOrder="0" shrinkToFit="0" vertical="bottom" wrapText="0"/>
    </xf>
    <xf borderId="0" fillId="21" fontId="13" numFmtId="0" xfId="0" applyAlignment="1" applyFill="1" applyFont="1">
      <alignment horizontal="center" readingOrder="0" shrinkToFit="0" vertical="bottom" wrapText="0"/>
    </xf>
    <xf borderId="0" fillId="22" fontId="13" numFmtId="0" xfId="0" applyAlignment="1" applyFill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23" fontId="13" numFmtId="0" xfId="0" applyAlignment="1" applyFill="1" applyFont="1">
      <alignment horizontal="center" readingOrder="0" shrinkToFit="0" vertical="bottom" wrapText="0"/>
    </xf>
    <xf borderId="0" fillId="0" fontId="3" numFmtId="1" xfId="0" applyAlignment="1" applyFont="1" applyNumberFormat="1">
      <alignment horizontal="center" vertical="center"/>
    </xf>
    <xf borderId="0" fillId="0" fontId="14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14" numFmtId="9" xfId="0" applyAlignment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0" fontId="11" numFmtId="0" xfId="0" applyAlignment="1" applyFont="1">
      <alignment horizontal="center"/>
    </xf>
    <xf borderId="0" fillId="7" fontId="9" numFmtId="0" xfId="0" applyAlignment="1" applyFont="1">
      <alignment readingOrder="0"/>
    </xf>
    <xf borderId="0" fillId="7" fontId="8" numFmtId="0" xfId="0" applyAlignment="1" applyFont="1">
      <alignment horizontal="center" readingOrder="0" vertical="center"/>
    </xf>
    <xf borderId="0" fillId="18" fontId="11" numFmtId="0" xfId="0" applyAlignment="1" applyFont="1">
      <alignment horizontal="center"/>
    </xf>
    <xf borderId="0" fillId="18" fontId="11" numFmtId="0" xfId="0" applyFont="1"/>
    <xf borderId="0" fillId="0" fontId="10" numFmtId="9" xfId="0" applyAlignment="1" applyFont="1" applyNumberFormat="1">
      <alignment readingOrder="0"/>
    </xf>
    <xf borderId="0" fillId="20" fontId="8" numFmtId="0" xfId="0" applyAlignment="1" applyFont="1">
      <alignment horizontal="center" readingOrder="0" vertical="center"/>
    </xf>
    <xf borderId="0" fillId="24" fontId="8" numFmtId="0" xfId="0" applyAlignment="1" applyFill="1" applyFont="1">
      <alignment horizontal="center" readingOrder="0" vertical="center"/>
    </xf>
    <xf borderId="0" fillId="22" fontId="8" numFmtId="0" xfId="0" applyAlignment="1" applyFont="1">
      <alignment horizontal="center" readingOrder="0" vertical="center"/>
    </xf>
    <xf borderId="0" fillId="22" fontId="15" numFmtId="0" xfId="0" applyFont="1"/>
    <xf borderId="0" fillId="25" fontId="8" numFmtId="0" xfId="0" applyAlignment="1" applyFill="1" applyFont="1">
      <alignment horizontal="center" readingOrder="0" vertical="center"/>
    </xf>
    <xf borderId="0" fillId="26" fontId="5" numFmtId="0" xfId="0" applyAlignment="1" applyFill="1" applyFont="1">
      <alignment horizontal="center" readingOrder="0" vertical="center"/>
    </xf>
    <xf borderId="0" fillId="0" fontId="5" numFmtId="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10" numFmtId="9" xfId="0" applyAlignment="1" applyFont="1" applyNumberFormat="1">
      <alignment horizontal="center" readingOrder="0"/>
    </xf>
    <xf borderId="8" fillId="0" fontId="8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readingOrder="0" vertical="center"/>
    </xf>
    <xf borderId="8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left" readingOrder="0"/>
    </xf>
    <xf borderId="8" fillId="0" fontId="9" numFmtId="0" xfId="0" applyAlignment="1" applyBorder="1" applyFont="1">
      <alignment readingOrder="0"/>
    </xf>
    <xf borderId="8" fillId="0" fontId="10" numFmtId="164" xfId="0" applyAlignment="1" applyBorder="1" applyFont="1" applyNumberFormat="1">
      <alignment horizontal="center" readingOrder="0"/>
    </xf>
    <xf borderId="0" fillId="0" fontId="10" numFmtId="0" xfId="0" applyAlignment="1" applyFont="1">
      <alignment horizontal="left" readingOrder="0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 w="76200">
              <a:solidFill>
                <a:srgbClr val="073763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'Perfil Ninja'!$B$2:$B$9</c:f>
              <c:numCache/>
            </c:numRef>
          </c:val>
        </c:ser>
        <c:ser>
          <c:idx val="1"/>
          <c:order val="1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Datos!$D$2:$D$9</c:f>
              <c:numCache/>
            </c:numRef>
          </c:val>
        </c:ser>
        <c:ser>
          <c:idx val="2"/>
          <c:order val="2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Datos!$E$2:$E$9</c:f>
              <c:numCache/>
            </c:numRef>
          </c:val>
        </c:ser>
        <c:ser>
          <c:idx val="3"/>
          <c:order val="3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Datos!$F$2:$F$9</c:f>
              <c:numCache/>
            </c:numRef>
          </c:val>
        </c:ser>
        <c:ser>
          <c:idx val="4"/>
          <c:order val="4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Datos!$G$2:$G$9</c:f>
              <c:numCache/>
            </c:numRef>
          </c:val>
        </c:ser>
        <c:ser>
          <c:idx val="5"/>
          <c:order val="5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Datos!$H$2:$H$9</c:f>
              <c:numCache/>
            </c:numRef>
          </c:val>
        </c:ser>
        <c:ser>
          <c:idx val="6"/>
          <c:order val="6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Datos!$I$2:$I$9</c:f>
              <c:numCache/>
            </c:numRef>
          </c:val>
        </c:ser>
        <c:ser>
          <c:idx val="7"/>
          <c:order val="7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Datos!$J$2:$J$9</c:f>
              <c:numCache/>
            </c:numRef>
          </c:val>
        </c:ser>
        <c:ser>
          <c:idx val="8"/>
          <c:order val="8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Datos!$K$2:$K$9</c:f>
              <c:numCache/>
            </c:numRef>
          </c:val>
        </c:ser>
        <c:ser>
          <c:idx val="9"/>
          <c:order val="9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Datos!$L$2:$L$9</c:f>
              <c:numCache/>
            </c:numRef>
          </c:val>
        </c:ser>
        <c:ser>
          <c:idx val="10"/>
          <c:order val="10"/>
          <c:spPr>
            <a:ln cmpd="sng">
              <a:solidFill>
                <a:srgbClr val="666666">
                  <a:alpha val="30196"/>
                </a:srgbClr>
              </a:solidFill>
            </a:ln>
          </c:spPr>
          <c:marker>
            <c:symbol val="none"/>
          </c:marker>
          <c:cat>
            <c:strRef>
              <c:f>'Perfil Ninja'!$A$2:$A$9</c:f>
            </c:strRef>
          </c:cat>
          <c:val>
            <c:numRef>
              <c:f>Datos!$M$2:$M$9</c:f>
              <c:numCache/>
            </c:numRef>
          </c:val>
        </c:ser>
        <c:axId val="1628941370"/>
        <c:axId val="305097895"/>
      </c:radarChart>
      <c:catAx>
        <c:axId val="1628941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05097895"/>
      </c:catAx>
      <c:valAx>
        <c:axId val="305097895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28941370"/>
      </c:valAx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12</xdr:row>
      <xdr:rowOff>123825</xdr:rowOff>
    </xdr:from>
    <xdr:ext cx="4324350" cy="3419475"/>
    <xdr:graphicFrame>
      <xdr:nvGraphicFramePr>
        <xdr:cNvPr id="97566747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238125</xdr:colOff>
      <xdr:row>9</xdr:row>
      <xdr:rowOff>133350</xdr:rowOff>
    </xdr:from>
    <xdr:ext cx="466725" cy="561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11</xdr:row>
      <xdr:rowOff>161925</xdr:rowOff>
    </xdr:from>
    <xdr:ext cx="466725" cy="56197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20</xdr:row>
      <xdr:rowOff>19050</xdr:rowOff>
    </xdr:from>
    <xdr:ext cx="457200" cy="56197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27</xdr:row>
      <xdr:rowOff>171450</xdr:rowOff>
    </xdr:from>
    <xdr:ext cx="504825" cy="5619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30</xdr:row>
      <xdr:rowOff>133350</xdr:rowOff>
    </xdr:from>
    <xdr:ext cx="457200" cy="5619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27</xdr:row>
      <xdr:rowOff>171450</xdr:rowOff>
    </xdr:from>
    <xdr:ext cx="561975" cy="56197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20</xdr:row>
      <xdr:rowOff>19050</xdr:rowOff>
    </xdr:from>
    <xdr:ext cx="476250" cy="56197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11</xdr:row>
      <xdr:rowOff>161925</xdr:rowOff>
    </xdr:from>
    <xdr:ext cx="476250" cy="56197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6.38"/>
    <col customWidth="1" min="3" max="3" width="3.25"/>
    <col customWidth="1" min="4" max="4" width="18.38"/>
    <col customWidth="1" min="5" max="5" width="12.25"/>
    <col customWidth="1" min="6" max="17" width="9.13"/>
    <col customWidth="1" min="18" max="26" width="8.63"/>
  </cols>
  <sheetData>
    <row r="1">
      <c r="A1" s="1" t="s">
        <v>0</v>
      </c>
      <c r="B1" s="2"/>
      <c r="C1" s="3"/>
      <c r="D1" s="4" t="s">
        <v>1</v>
      </c>
      <c r="E1" s="5"/>
      <c r="G1" s="3" t="s">
        <v>2</v>
      </c>
      <c r="H1" s="3"/>
      <c r="I1" s="3"/>
      <c r="J1" s="3"/>
      <c r="K1" s="3" t="s">
        <v>3</v>
      </c>
      <c r="L1" s="3"/>
      <c r="M1" s="3"/>
      <c r="N1" s="3"/>
      <c r="O1" s="6" t="s">
        <v>4</v>
      </c>
      <c r="P1" s="7"/>
      <c r="Q1" s="8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5</v>
      </c>
      <c r="B2" s="10">
        <v>5.0</v>
      </c>
      <c r="D2" s="11" t="s">
        <v>6</v>
      </c>
      <c r="E2" s="12">
        <f>SUM(LOOKUP(B10, Datos!P2:P6, Datos!N2:N6) + (150 * FLOOR(B6,1)), A18:A377)</f>
        <v>1200</v>
      </c>
      <c r="F2" s="3"/>
      <c r="G2" s="3" t="str">
        <f>"["&amp;E2&amp;"VIT"&amp;" / "&amp;E3&amp;"CH"&amp;" / "&amp;E4&amp;" VEL"&amp;" / "&amp;E5*100&amp;"% RES"&amp;" / "&amp;E6&amp;" REF"&amp;" / "&amp;E7&amp;" PER"&amp;"]"</f>
        <v>[1200VIT / 450CH /  VEL / 0% RES /  REF /  PER]</v>
      </c>
      <c r="H2" s="3"/>
      <c r="I2" s="3"/>
      <c r="J2" s="3"/>
      <c r="K2" s="3"/>
      <c r="L2" s="3"/>
      <c r="M2" s="3"/>
      <c r="N2" s="3"/>
      <c r="O2" s="13" t="s">
        <v>7</v>
      </c>
      <c r="P2" s="13" t="s">
        <v>8</v>
      </c>
      <c r="Q2" s="13" t="s">
        <v>9</v>
      </c>
      <c r="R2" s="3"/>
      <c r="S2" s="3"/>
      <c r="T2" s="3"/>
      <c r="U2" s="3"/>
      <c r="V2" s="3"/>
      <c r="W2" s="3"/>
      <c r="X2" s="3"/>
      <c r="Y2" s="3"/>
      <c r="Z2" s="3"/>
    </row>
    <row r="3">
      <c r="A3" s="14" t="s">
        <v>10</v>
      </c>
      <c r="B3" s="10">
        <v>3.0</v>
      </c>
      <c r="D3" s="15" t="s">
        <v>11</v>
      </c>
      <c r="E3" s="16">
        <f>SUM(LOOKUP(B10, Datos!P2:P6, Datos!O2:O6) + (B8*100),A18:A377)</f>
        <v>450</v>
      </c>
      <c r="F3" s="3"/>
      <c r="G3" s="3"/>
      <c r="H3" s="3"/>
      <c r="I3" s="3"/>
      <c r="J3" s="3"/>
      <c r="K3" s="3"/>
      <c r="L3" s="3"/>
      <c r="M3" s="3"/>
      <c r="N3" s="3"/>
      <c r="O3" s="17" t="s">
        <v>12</v>
      </c>
      <c r="P3" s="18" t="s">
        <v>13</v>
      </c>
      <c r="Q3" s="19" t="s">
        <v>14</v>
      </c>
      <c r="R3" s="3"/>
      <c r="S3" s="3"/>
      <c r="T3" s="3"/>
      <c r="U3" s="3"/>
      <c r="V3" s="3"/>
      <c r="W3" s="3"/>
      <c r="X3" s="3"/>
      <c r="Y3" s="3"/>
      <c r="Z3" s="3"/>
    </row>
    <row r="4">
      <c r="A4" s="20" t="s">
        <v>15</v>
      </c>
      <c r="B4" s="10">
        <v>1.0</v>
      </c>
      <c r="D4" s="21" t="s">
        <v>16</v>
      </c>
      <c r="E4" s="22"/>
      <c r="F4" s="3"/>
      <c r="G4" s="3" t="s">
        <v>17</v>
      </c>
      <c r="H4" s="3"/>
      <c r="I4" s="3"/>
      <c r="J4" s="3"/>
      <c r="K4" s="3"/>
      <c r="L4" s="3"/>
      <c r="M4" s="3"/>
      <c r="N4" s="3"/>
      <c r="O4" s="18" t="s">
        <v>13</v>
      </c>
      <c r="P4" s="23" t="s">
        <v>18</v>
      </c>
      <c r="Q4" s="17" t="s">
        <v>12</v>
      </c>
      <c r="R4" s="3"/>
      <c r="S4" s="3"/>
      <c r="T4" s="3"/>
      <c r="U4" s="3"/>
      <c r="V4" s="3"/>
      <c r="W4" s="3"/>
      <c r="X4" s="3"/>
      <c r="Y4" s="3"/>
      <c r="Z4" s="3"/>
    </row>
    <row r="5">
      <c r="A5" s="24" t="s">
        <v>19</v>
      </c>
      <c r="B5" s="10">
        <v>5.0</v>
      </c>
      <c r="D5" s="25" t="s">
        <v>20</v>
      </c>
      <c r="E5" s="22"/>
      <c r="F5" s="3"/>
      <c r="G5" s="3" t="s">
        <v>21</v>
      </c>
      <c r="H5" s="3"/>
      <c r="I5" s="3"/>
      <c r="J5" s="3"/>
      <c r="K5" s="3"/>
      <c r="L5" s="3"/>
      <c r="M5" s="3"/>
      <c r="N5" s="3"/>
      <c r="O5" s="23" t="s">
        <v>18</v>
      </c>
      <c r="P5" s="26" t="s">
        <v>22</v>
      </c>
      <c r="Q5" s="18" t="s">
        <v>13</v>
      </c>
      <c r="R5" s="3"/>
      <c r="S5" s="3"/>
      <c r="T5" s="3"/>
      <c r="U5" s="3"/>
      <c r="V5" s="3"/>
      <c r="W5" s="3"/>
      <c r="X5" s="3"/>
      <c r="Y5" s="3"/>
      <c r="Z5" s="3"/>
    </row>
    <row r="6">
      <c r="A6" s="27" t="s">
        <v>23</v>
      </c>
      <c r="B6" s="10">
        <v>2.0</v>
      </c>
      <c r="D6" s="28" t="s">
        <v>24</v>
      </c>
      <c r="E6" s="22"/>
      <c r="F6" s="3"/>
      <c r="G6" s="29" t="s">
        <v>25</v>
      </c>
      <c r="H6" s="3"/>
      <c r="I6" s="3"/>
      <c r="J6" s="3"/>
      <c r="K6" s="3"/>
      <c r="L6" s="3"/>
      <c r="M6" s="3"/>
      <c r="N6" s="3"/>
      <c r="O6" s="26" t="s">
        <v>22</v>
      </c>
      <c r="P6" s="19" t="s">
        <v>14</v>
      </c>
      <c r="Q6" s="23" t="s">
        <v>18</v>
      </c>
      <c r="R6" s="3"/>
      <c r="S6" s="3"/>
      <c r="T6" s="3"/>
      <c r="U6" s="3"/>
      <c r="V6" s="3"/>
      <c r="W6" s="3"/>
      <c r="X6" s="3"/>
      <c r="Y6" s="3"/>
      <c r="Z6" s="3"/>
    </row>
    <row r="7">
      <c r="A7" s="30" t="s">
        <v>26</v>
      </c>
      <c r="B7" s="10">
        <v>3.0</v>
      </c>
      <c r="D7" s="31" t="s">
        <v>27</v>
      </c>
      <c r="E7" s="22"/>
      <c r="F7" s="3"/>
      <c r="G7" s="3"/>
      <c r="H7" s="3"/>
      <c r="I7" s="3"/>
      <c r="J7" s="3"/>
      <c r="K7" s="3"/>
      <c r="L7" s="3"/>
      <c r="M7" s="3"/>
      <c r="N7" s="3"/>
      <c r="O7" s="19" t="s">
        <v>14</v>
      </c>
      <c r="P7" s="17" t="s">
        <v>12</v>
      </c>
      <c r="Q7" s="26" t="s">
        <v>22</v>
      </c>
      <c r="R7" s="3"/>
      <c r="S7" s="3"/>
      <c r="T7" s="3"/>
      <c r="U7" s="3"/>
      <c r="V7" s="3"/>
      <c r="W7" s="3"/>
      <c r="X7" s="3"/>
      <c r="Y7" s="3"/>
      <c r="Z7" s="3"/>
    </row>
    <row r="8">
      <c r="A8" s="32" t="s">
        <v>28</v>
      </c>
      <c r="B8" s="10">
        <v>4.0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29</v>
      </c>
      <c r="B9" s="10">
        <v>3.0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4" t="s">
        <v>30</v>
      </c>
      <c r="B10" s="35">
        <f>SUM(B2:B9)</f>
        <v>26</v>
      </c>
      <c r="C10" s="3"/>
      <c r="D10" s="3"/>
      <c r="E10" s="3"/>
      <c r="F10" s="3"/>
      <c r="G10" s="3" t="s">
        <v>31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29" t="s">
        <v>32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B1"/>
    <mergeCell ref="D1:E1"/>
    <mergeCell ref="O1:Q1"/>
  </mergeCells>
  <dataValidations>
    <dataValidation type="list" allowBlank="1" showErrorMessage="1" sqref="B2:B9">
      <formula1>Datos!$B$3:$B$12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8.5"/>
    <col customWidth="1" min="3" max="3" width="8.38"/>
    <col customWidth="1" min="4" max="4" width="9.63"/>
    <col customWidth="1" min="5" max="5" width="8.5"/>
    <col customWidth="1" min="6" max="6" width="8.38"/>
    <col customWidth="1" min="7" max="7" width="4.13"/>
    <col customWidth="1" min="8" max="8" width="8.38"/>
    <col customWidth="1" min="9" max="12" width="8.5"/>
    <col customWidth="1" min="13" max="13" width="8.38"/>
    <col customWidth="1" min="14" max="14" width="3.75"/>
    <col customWidth="1" min="15" max="15" width="7.88"/>
    <col customWidth="1" min="16" max="19" width="8.5"/>
    <col customWidth="1" min="20" max="20" width="8.38"/>
    <col customWidth="1" min="21" max="21" width="3.5"/>
    <col customWidth="1" min="22" max="26" width="8.5"/>
    <col customWidth="1" min="27" max="27" width="8.38"/>
  </cols>
  <sheetData>
    <row r="2">
      <c r="A2" s="36"/>
      <c r="B2" s="37" t="s">
        <v>33</v>
      </c>
      <c r="C2" s="38" t="s">
        <v>34</v>
      </c>
      <c r="D2" s="39" t="s">
        <v>35</v>
      </c>
      <c r="E2" s="40" t="s">
        <v>36</v>
      </c>
      <c r="H2" s="41"/>
    </row>
    <row r="3">
      <c r="A3" s="39" t="s">
        <v>37</v>
      </c>
      <c r="B3" s="42" t="s">
        <v>38</v>
      </c>
      <c r="C3" s="43">
        <v>1.0</v>
      </c>
      <c r="D3" s="44">
        <v>3.0</v>
      </c>
      <c r="E3" s="41" t="s">
        <v>39</v>
      </c>
      <c r="H3" s="41"/>
    </row>
    <row r="4">
      <c r="A4" s="39" t="s">
        <v>40</v>
      </c>
      <c r="B4" s="42" t="s">
        <v>41</v>
      </c>
      <c r="C4" s="43">
        <v>1.0</v>
      </c>
      <c r="D4" s="44">
        <v>4.0</v>
      </c>
      <c r="E4" s="41" t="s">
        <v>42</v>
      </c>
    </row>
    <row r="5">
      <c r="A5" s="39" t="s">
        <v>43</v>
      </c>
      <c r="B5" s="44" t="s">
        <v>44</v>
      </c>
      <c r="C5" s="43">
        <v>1.0</v>
      </c>
      <c r="D5" s="44">
        <v>5.0</v>
      </c>
      <c r="E5" s="41" t="s">
        <v>45</v>
      </c>
      <c r="H5" s="41"/>
    </row>
    <row r="6">
      <c r="A6" s="39" t="s">
        <v>46</v>
      </c>
      <c r="B6" s="44" t="s">
        <v>47</v>
      </c>
      <c r="C6" s="43">
        <v>1.0</v>
      </c>
      <c r="D6" s="44">
        <v>6.0</v>
      </c>
      <c r="E6" s="41" t="s">
        <v>48</v>
      </c>
      <c r="H6" s="41"/>
    </row>
    <row r="7">
      <c r="A7" s="39" t="s">
        <v>49</v>
      </c>
      <c r="B7" s="44" t="s">
        <v>50</v>
      </c>
      <c r="C7" s="43">
        <v>1.0</v>
      </c>
      <c r="D7" s="44">
        <v>8.0</v>
      </c>
      <c r="E7" s="41" t="s">
        <v>51</v>
      </c>
    </row>
    <row r="8">
      <c r="A8" s="45"/>
      <c r="B8" s="44"/>
      <c r="C8" s="44"/>
      <c r="D8" s="44">
        <v>9.0</v>
      </c>
    </row>
    <row r="9">
      <c r="A9" s="45"/>
      <c r="B9" s="44"/>
      <c r="C9" s="44"/>
      <c r="D9" s="44">
        <v>10.0</v>
      </c>
    </row>
    <row r="10">
      <c r="A10" s="41" t="s">
        <v>52</v>
      </c>
    </row>
    <row r="11">
      <c r="A11" s="40" t="s">
        <v>53</v>
      </c>
      <c r="B11" s="41" t="s">
        <v>54</v>
      </c>
      <c r="H11" s="40" t="s">
        <v>55</v>
      </c>
      <c r="O11" s="40" t="s">
        <v>56</v>
      </c>
    </row>
    <row r="12">
      <c r="B12" s="40" t="s">
        <v>37</v>
      </c>
      <c r="C12" s="40" t="s">
        <v>40</v>
      </c>
      <c r="D12" s="40" t="s">
        <v>43</v>
      </c>
      <c r="E12" s="40" t="s">
        <v>46</v>
      </c>
      <c r="F12" s="40" t="s">
        <v>49</v>
      </c>
      <c r="I12" s="40" t="s">
        <v>37</v>
      </c>
      <c r="J12" s="40" t="s">
        <v>40</v>
      </c>
      <c r="K12" s="40" t="s">
        <v>43</v>
      </c>
      <c r="L12" s="40" t="s">
        <v>46</v>
      </c>
      <c r="M12" s="40" t="s">
        <v>49</v>
      </c>
      <c r="P12" s="40" t="s">
        <v>37</v>
      </c>
      <c r="Q12" s="40" t="s">
        <v>40</v>
      </c>
      <c r="R12" s="40" t="s">
        <v>43</v>
      </c>
      <c r="S12" s="40" t="s">
        <v>46</v>
      </c>
      <c r="T12" s="40" t="s">
        <v>49</v>
      </c>
    </row>
    <row r="13">
      <c r="A13" s="9" t="s">
        <v>5</v>
      </c>
      <c r="B13" s="46">
        <v>3.0</v>
      </c>
      <c r="C13" s="46">
        <v>4.0</v>
      </c>
      <c r="D13" s="46">
        <v>5.0</v>
      </c>
      <c r="E13" s="46">
        <v>6.0</v>
      </c>
      <c r="F13" s="46">
        <v>9.0</v>
      </c>
      <c r="H13" s="9" t="s">
        <v>5</v>
      </c>
      <c r="I13" s="10">
        <v>1.0</v>
      </c>
      <c r="J13" s="10">
        <v>1.0</v>
      </c>
      <c r="K13" s="10">
        <v>1.0</v>
      </c>
      <c r="L13" s="10">
        <v>2.0</v>
      </c>
      <c r="M13" s="10">
        <v>2.0</v>
      </c>
      <c r="O13" s="9" t="s">
        <v>5</v>
      </c>
      <c r="P13" s="10">
        <v>1.0</v>
      </c>
      <c r="Q13" s="10">
        <v>2.0</v>
      </c>
      <c r="R13" s="10">
        <v>2.0</v>
      </c>
      <c r="S13" s="10">
        <v>4.0</v>
      </c>
      <c r="T13" s="10">
        <v>4.0</v>
      </c>
    </row>
    <row r="14">
      <c r="A14" s="14" t="s">
        <v>10</v>
      </c>
      <c r="B14" s="10">
        <v>1.0</v>
      </c>
      <c r="C14" s="10">
        <v>1.0</v>
      </c>
      <c r="D14" s="10">
        <v>1.0</v>
      </c>
      <c r="E14" s="10">
        <v>2.0</v>
      </c>
      <c r="F14" s="10">
        <v>2.0</v>
      </c>
      <c r="H14" s="14" t="s">
        <v>10</v>
      </c>
      <c r="I14" s="10">
        <v>1.0</v>
      </c>
      <c r="J14" s="10">
        <v>1.0</v>
      </c>
      <c r="K14" s="10">
        <v>1.0</v>
      </c>
      <c r="L14" s="10">
        <v>2.0</v>
      </c>
      <c r="M14" s="10">
        <v>2.0</v>
      </c>
      <c r="O14" s="14" t="s">
        <v>10</v>
      </c>
      <c r="P14" s="46">
        <v>3.0</v>
      </c>
      <c r="Q14" s="46">
        <v>4.0</v>
      </c>
      <c r="R14" s="46">
        <v>5.0</v>
      </c>
      <c r="S14" s="46">
        <v>6.0</v>
      </c>
      <c r="T14" s="46">
        <v>9.0</v>
      </c>
    </row>
    <row r="15">
      <c r="A15" s="20" t="s">
        <v>15</v>
      </c>
      <c r="B15" s="10">
        <v>1.0</v>
      </c>
      <c r="C15" s="10">
        <v>2.0</v>
      </c>
      <c r="D15" s="10">
        <v>2.0</v>
      </c>
      <c r="E15" s="10">
        <v>2.0</v>
      </c>
      <c r="F15" s="10">
        <v>2.0</v>
      </c>
      <c r="H15" s="20" t="s">
        <v>15</v>
      </c>
      <c r="I15" s="46">
        <v>3.0</v>
      </c>
      <c r="J15" s="46">
        <v>4.0</v>
      </c>
      <c r="K15" s="46">
        <v>5.0</v>
      </c>
      <c r="L15" s="46">
        <v>6.0</v>
      </c>
      <c r="M15" s="46">
        <v>9.0</v>
      </c>
      <c r="O15" s="20" t="s">
        <v>15</v>
      </c>
      <c r="P15" s="10">
        <v>1.0</v>
      </c>
      <c r="Q15" s="10">
        <v>1.0</v>
      </c>
      <c r="R15" s="10">
        <v>1.0</v>
      </c>
      <c r="S15" s="10">
        <v>4.0</v>
      </c>
      <c r="T15" s="10">
        <v>4.0</v>
      </c>
    </row>
    <row r="16">
      <c r="A16" s="24" t="s">
        <v>19</v>
      </c>
      <c r="B16" s="10">
        <v>2.0</v>
      </c>
      <c r="C16" s="10">
        <v>2.0</v>
      </c>
      <c r="D16" s="10">
        <v>3.0</v>
      </c>
      <c r="E16" s="10">
        <v>5.0</v>
      </c>
      <c r="F16" s="10">
        <v>5.0</v>
      </c>
      <c r="H16" s="24" t="s">
        <v>19</v>
      </c>
      <c r="I16" s="10">
        <v>2.0</v>
      </c>
      <c r="J16" s="10">
        <v>3.0</v>
      </c>
      <c r="K16" s="10">
        <v>3.0</v>
      </c>
      <c r="L16" s="10">
        <v>5.0</v>
      </c>
      <c r="M16" s="10">
        <v>5.0</v>
      </c>
      <c r="O16" s="24" t="s">
        <v>19</v>
      </c>
      <c r="P16" s="10">
        <v>1.0</v>
      </c>
      <c r="Q16" s="10">
        <v>2.0</v>
      </c>
      <c r="R16" s="10">
        <v>3.0</v>
      </c>
      <c r="S16" s="10">
        <v>5.0</v>
      </c>
      <c r="T16" s="10">
        <v>5.0</v>
      </c>
    </row>
    <row r="17">
      <c r="A17" s="27" t="s">
        <v>23</v>
      </c>
      <c r="B17" s="10">
        <v>1.0</v>
      </c>
      <c r="C17" s="10">
        <v>2.0</v>
      </c>
      <c r="D17" s="10">
        <v>2.0</v>
      </c>
      <c r="E17" s="10">
        <v>5.0</v>
      </c>
      <c r="F17" s="10">
        <v>6.0</v>
      </c>
      <c r="H17" s="27" t="s">
        <v>23</v>
      </c>
      <c r="I17" s="10">
        <v>1.0</v>
      </c>
      <c r="J17" s="10">
        <v>2.0</v>
      </c>
      <c r="K17" s="10">
        <v>3.0</v>
      </c>
      <c r="L17" s="10">
        <v>5.0</v>
      </c>
      <c r="M17" s="10">
        <v>6.0</v>
      </c>
      <c r="O17" s="27" t="s">
        <v>23</v>
      </c>
      <c r="P17" s="46">
        <v>3.0</v>
      </c>
      <c r="Q17" s="46">
        <v>4.0</v>
      </c>
      <c r="R17" s="46">
        <v>5.0</v>
      </c>
      <c r="S17" s="46">
        <v>5.0</v>
      </c>
      <c r="T17" s="46">
        <v>8.0</v>
      </c>
    </row>
    <row r="18">
      <c r="A18" s="30" t="s">
        <v>26</v>
      </c>
      <c r="B18" s="10">
        <v>1.0</v>
      </c>
      <c r="C18" s="10">
        <v>2.0</v>
      </c>
      <c r="D18" s="10">
        <v>3.0</v>
      </c>
      <c r="E18" s="10">
        <v>5.0</v>
      </c>
      <c r="F18" s="10">
        <v>6.0</v>
      </c>
      <c r="H18" s="30" t="s">
        <v>26</v>
      </c>
      <c r="I18" s="10">
        <v>1.0</v>
      </c>
      <c r="J18" s="10">
        <v>2.0</v>
      </c>
      <c r="K18" s="10">
        <v>3.0</v>
      </c>
      <c r="L18" s="10">
        <v>5.0</v>
      </c>
      <c r="M18" s="10">
        <v>6.0</v>
      </c>
      <c r="O18" s="30" t="s">
        <v>26</v>
      </c>
      <c r="P18" s="10">
        <v>2.0</v>
      </c>
      <c r="Q18" s="10">
        <v>3.0</v>
      </c>
      <c r="R18" s="10">
        <v>4.0</v>
      </c>
      <c r="S18" s="10">
        <v>5.0</v>
      </c>
      <c r="T18" s="10">
        <v>7.0</v>
      </c>
    </row>
    <row r="19">
      <c r="A19" s="32" t="s">
        <v>28</v>
      </c>
      <c r="B19" s="10">
        <v>3.0</v>
      </c>
      <c r="C19" s="10">
        <v>4.0</v>
      </c>
      <c r="D19" s="10">
        <v>5.0</v>
      </c>
      <c r="E19" s="10">
        <v>5.0</v>
      </c>
      <c r="F19" s="10">
        <v>7.0</v>
      </c>
      <c r="H19" s="32" t="s">
        <v>28</v>
      </c>
      <c r="I19" s="10">
        <v>3.0</v>
      </c>
      <c r="J19" s="10">
        <v>4.0</v>
      </c>
      <c r="K19" s="10">
        <v>5.0</v>
      </c>
      <c r="L19" s="10">
        <v>5.0</v>
      </c>
      <c r="M19" s="10">
        <v>7.0</v>
      </c>
      <c r="O19" s="32" t="s">
        <v>28</v>
      </c>
      <c r="P19" s="10">
        <v>3.0</v>
      </c>
      <c r="Q19" s="10">
        <v>3.0</v>
      </c>
      <c r="R19" s="10">
        <v>4.0</v>
      </c>
      <c r="S19" s="10">
        <v>5.0</v>
      </c>
      <c r="T19" s="10">
        <v>7.0</v>
      </c>
    </row>
    <row r="20">
      <c r="A20" s="33" t="s">
        <v>29</v>
      </c>
      <c r="B20" s="10">
        <v>3.0</v>
      </c>
      <c r="C20" s="10">
        <v>3.0</v>
      </c>
      <c r="D20" s="10">
        <v>4.0</v>
      </c>
      <c r="E20" s="10">
        <v>5.0</v>
      </c>
      <c r="F20" s="10">
        <v>8.0</v>
      </c>
      <c r="H20" s="33" t="s">
        <v>29</v>
      </c>
      <c r="I20" s="10">
        <v>3.0</v>
      </c>
      <c r="J20" s="10">
        <v>3.0</v>
      </c>
      <c r="K20" s="10">
        <v>4.0</v>
      </c>
      <c r="L20" s="10">
        <v>5.0</v>
      </c>
      <c r="M20" s="10">
        <v>8.0</v>
      </c>
      <c r="O20" s="33" t="s">
        <v>29</v>
      </c>
      <c r="P20" s="10">
        <v>1.0</v>
      </c>
      <c r="Q20" s="10">
        <v>1.0</v>
      </c>
      <c r="R20" s="10">
        <v>1.0</v>
      </c>
      <c r="S20" s="10">
        <v>1.0</v>
      </c>
      <c r="T20" s="10">
        <v>1.0</v>
      </c>
    </row>
    <row r="21">
      <c r="A21" s="34" t="s">
        <v>30</v>
      </c>
      <c r="B21" s="35">
        <f t="shared" ref="B21:F21" si="1">SUM(B13:B20)</f>
        <v>15</v>
      </c>
      <c r="C21" s="35">
        <f t="shared" si="1"/>
        <v>20</v>
      </c>
      <c r="D21" s="35">
        <f t="shared" si="1"/>
        <v>25</v>
      </c>
      <c r="E21" s="35">
        <f t="shared" si="1"/>
        <v>35</v>
      </c>
      <c r="F21" s="35">
        <f t="shared" si="1"/>
        <v>45</v>
      </c>
      <c r="H21" s="34" t="s">
        <v>30</v>
      </c>
      <c r="I21" s="35">
        <f t="shared" ref="I21:M21" si="2">SUM(I13:I20)</f>
        <v>15</v>
      </c>
      <c r="J21" s="35">
        <f t="shared" si="2"/>
        <v>20</v>
      </c>
      <c r="K21" s="35">
        <f t="shared" si="2"/>
        <v>25</v>
      </c>
      <c r="L21" s="35">
        <f t="shared" si="2"/>
        <v>35</v>
      </c>
      <c r="M21" s="35">
        <f t="shared" si="2"/>
        <v>45</v>
      </c>
      <c r="O21" s="34" t="s">
        <v>30</v>
      </c>
      <c r="P21" s="35">
        <f t="shared" ref="P21:T21" si="3">SUM(P13:P20)</f>
        <v>15</v>
      </c>
      <c r="Q21" s="35">
        <f t="shared" si="3"/>
        <v>20</v>
      </c>
      <c r="R21" s="35">
        <f t="shared" si="3"/>
        <v>25</v>
      </c>
      <c r="S21" s="35">
        <f t="shared" si="3"/>
        <v>35</v>
      </c>
      <c r="T21" s="35">
        <f t="shared" si="3"/>
        <v>45</v>
      </c>
    </row>
    <row r="22">
      <c r="A22" s="47"/>
      <c r="B22" s="48"/>
      <c r="C22" s="48"/>
      <c r="D22" s="48"/>
      <c r="E22" s="48"/>
      <c r="F22" s="48"/>
      <c r="G22" s="48"/>
      <c r="H22" s="47"/>
      <c r="I22" s="48"/>
      <c r="J22" s="48"/>
      <c r="K22" s="48"/>
      <c r="L22" s="48"/>
      <c r="M22" s="48"/>
      <c r="N22" s="48"/>
      <c r="O22" s="47"/>
      <c r="P22" s="48"/>
      <c r="Q22" s="48"/>
      <c r="R22" s="48"/>
      <c r="S22" s="48"/>
      <c r="T22" s="48"/>
      <c r="U22" s="48"/>
    </row>
    <row r="23">
      <c r="A23" s="41"/>
    </row>
    <row r="24">
      <c r="A24" s="41" t="s">
        <v>57</v>
      </c>
    </row>
    <row r="25">
      <c r="A25" s="40" t="s">
        <v>53</v>
      </c>
      <c r="H25" s="40" t="s">
        <v>55</v>
      </c>
      <c r="O25" s="40" t="s">
        <v>56</v>
      </c>
    </row>
    <row r="26">
      <c r="B26" s="40" t="s">
        <v>37</v>
      </c>
      <c r="C26" s="40" t="s">
        <v>40</v>
      </c>
      <c r="D26" s="40" t="s">
        <v>43</v>
      </c>
      <c r="E26" s="40" t="s">
        <v>46</v>
      </c>
      <c r="F26" s="40" t="s">
        <v>49</v>
      </c>
      <c r="I26" s="40" t="s">
        <v>37</v>
      </c>
      <c r="J26" s="40" t="s">
        <v>40</v>
      </c>
      <c r="K26" s="40" t="s">
        <v>43</v>
      </c>
      <c r="L26" s="40" t="s">
        <v>46</v>
      </c>
      <c r="M26" s="40" t="s">
        <v>49</v>
      </c>
      <c r="P26" s="40" t="s">
        <v>37</v>
      </c>
      <c r="Q26" s="40" t="s">
        <v>40</v>
      </c>
      <c r="R26" s="40" t="s">
        <v>43</v>
      </c>
      <c r="S26" s="40" t="s">
        <v>46</v>
      </c>
      <c r="T26" s="40" t="s">
        <v>49</v>
      </c>
    </row>
    <row r="27">
      <c r="A27" s="9" t="s">
        <v>5</v>
      </c>
      <c r="B27" s="46">
        <v>3.0</v>
      </c>
      <c r="C27" s="46">
        <v>4.0</v>
      </c>
      <c r="D27" s="46">
        <v>5.0</v>
      </c>
      <c r="E27" s="46">
        <v>6.0</v>
      </c>
      <c r="F27" s="46">
        <v>9.0</v>
      </c>
      <c r="H27" s="9" t="s">
        <v>5</v>
      </c>
      <c r="I27" s="10">
        <v>1.0</v>
      </c>
      <c r="J27" s="10">
        <v>1.0</v>
      </c>
      <c r="K27" s="10">
        <v>2.0</v>
      </c>
      <c r="L27" s="10">
        <v>1.0</v>
      </c>
      <c r="M27" s="10">
        <v>1.0</v>
      </c>
      <c r="O27" s="9" t="s">
        <v>5</v>
      </c>
      <c r="P27" s="10">
        <v>1.0</v>
      </c>
      <c r="Q27" s="10">
        <v>1.0</v>
      </c>
      <c r="R27" s="10">
        <v>1.0</v>
      </c>
      <c r="S27" s="10">
        <v>2.0</v>
      </c>
      <c r="T27" s="10">
        <v>2.0</v>
      </c>
    </row>
    <row r="28">
      <c r="A28" s="14" t="s">
        <v>10</v>
      </c>
      <c r="B28" s="10">
        <v>1.0</v>
      </c>
      <c r="C28" s="10">
        <v>1.0</v>
      </c>
      <c r="D28" s="10">
        <v>1.0</v>
      </c>
      <c r="E28" s="10">
        <v>1.0</v>
      </c>
      <c r="F28" s="10">
        <v>1.0</v>
      </c>
      <c r="H28" s="14" t="s">
        <v>10</v>
      </c>
      <c r="I28" s="10">
        <v>1.0</v>
      </c>
      <c r="J28" s="10">
        <v>1.0</v>
      </c>
      <c r="K28" s="10">
        <v>1.0</v>
      </c>
      <c r="L28" s="10">
        <v>1.0</v>
      </c>
      <c r="M28" s="10">
        <v>1.0</v>
      </c>
      <c r="O28" s="14" t="s">
        <v>10</v>
      </c>
      <c r="P28" s="46">
        <v>3.0</v>
      </c>
      <c r="Q28" s="46">
        <v>4.0</v>
      </c>
      <c r="R28" s="46">
        <v>5.0</v>
      </c>
      <c r="S28" s="46">
        <v>6.0</v>
      </c>
      <c r="T28" s="46">
        <v>9.0</v>
      </c>
    </row>
    <row r="29">
      <c r="A29" s="20" t="s">
        <v>15</v>
      </c>
      <c r="B29" s="10">
        <v>1.0</v>
      </c>
      <c r="C29" s="10">
        <v>1.0</v>
      </c>
      <c r="D29" s="10">
        <v>1.0</v>
      </c>
      <c r="E29" s="10">
        <v>1.0</v>
      </c>
      <c r="F29" s="10">
        <v>2.0</v>
      </c>
      <c r="H29" s="20" t="s">
        <v>15</v>
      </c>
      <c r="I29" s="46">
        <v>3.0</v>
      </c>
      <c r="J29" s="46">
        <v>4.0</v>
      </c>
      <c r="K29" s="46">
        <v>5.0</v>
      </c>
      <c r="L29" s="46">
        <v>6.0</v>
      </c>
      <c r="M29" s="46">
        <v>9.0</v>
      </c>
      <c r="O29" s="20" t="s">
        <v>15</v>
      </c>
      <c r="P29" s="10">
        <v>1.0</v>
      </c>
      <c r="Q29" s="10">
        <v>1.0</v>
      </c>
      <c r="R29" s="10">
        <v>1.0</v>
      </c>
      <c r="S29" s="10">
        <v>1.0</v>
      </c>
      <c r="T29" s="10">
        <v>1.0</v>
      </c>
    </row>
    <row r="30">
      <c r="A30" s="24" t="s">
        <v>19</v>
      </c>
      <c r="B30" s="10">
        <v>1.0</v>
      </c>
      <c r="C30" s="10">
        <v>2.0</v>
      </c>
      <c r="D30" s="10">
        <v>3.0</v>
      </c>
      <c r="E30" s="10">
        <v>5.0</v>
      </c>
      <c r="F30" s="10">
        <v>5.0</v>
      </c>
      <c r="H30" s="24" t="s">
        <v>19</v>
      </c>
      <c r="I30" s="10">
        <v>1.0</v>
      </c>
      <c r="J30" s="10">
        <v>3.0</v>
      </c>
      <c r="K30" s="10">
        <v>4.0</v>
      </c>
      <c r="L30" s="10">
        <v>5.0</v>
      </c>
      <c r="M30" s="10">
        <v>8.0</v>
      </c>
      <c r="O30" s="24" t="s">
        <v>19</v>
      </c>
      <c r="P30" s="10">
        <v>1.0</v>
      </c>
      <c r="Q30" s="10">
        <v>1.0</v>
      </c>
      <c r="R30" s="10">
        <v>2.0</v>
      </c>
      <c r="S30" s="10">
        <v>5.0</v>
      </c>
      <c r="T30" s="10">
        <v>5.0</v>
      </c>
    </row>
    <row r="31">
      <c r="A31" s="27" t="s">
        <v>23</v>
      </c>
      <c r="B31" s="10">
        <v>1.0</v>
      </c>
      <c r="C31" s="10">
        <v>1.0</v>
      </c>
      <c r="D31" s="10">
        <v>2.0</v>
      </c>
      <c r="E31" s="10">
        <v>3.0</v>
      </c>
      <c r="F31" s="10">
        <v>4.0</v>
      </c>
      <c r="H31" s="27" t="s">
        <v>23</v>
      </c>
      <c r="I31" s="10">
        <v>1.0</v>
      </c>
      <c r="J31" s="10">
        <v>1.0</v>
      </c>
      <c r="K31" s="10">
        <v>1.0</v>
      </c>
      <c r="L31" s="10">
        <v>3.0</v>
      </c>
      <c r="M31" s="10">
        <v>4.0</v>
      </c>
      <c r="O31" s="27" t="s">
        <v>23</v>
      </c>
      <c r="P31" s="46">
        <v>1.0</v>
      </c>
      <c r="Q31" s="46">
        <v>4.0</v>
      </c>
      <c r="R31" s="46">
        <v>5.0</v>
      </c>
      <c r="S31" s="46">
        <v>5.0</v>
      </c>
      <c r="T31" s="46">
        <v>8.0</v>
      </c>
    </row>
    <row r="32">
      <c r="A32" s="30" t="s">
        <v>26</v>
      </c>
      <c r="B32" s="10">
        <v>1.0</v>
      </c>
      <c r="C32" s="10">
        <v>2.0</v>
      </c>
      <c r="D32" s="10">
        <v>2.0</v>
      </c>
      <c r="E32" s="10">
        <v>4.0</v>
      </c>
      <c r="F32" s="10">
        <v>4.0</v>
      </c>
      <c r="H32" s="30" t="s">
        <v>26</v>
      </c>
      <c r="I32" s="10">
        <v>1.0</v>
      </c>
      <c r="J32" s="10">
        <v>1.0</v>
      </c>
      <c r="K32" s="10">
        <v>1.0</v>
      </c>
      <c r="L32" s="10">
        <v>4.0</v>
      </c>
      <c r="M32" s="10">
        <v>4.0</v>
      </c>
      <c r="O32" s="30" t="s">
        <v>26</v>
      </c>
      <c r="P32" s="10">
        <v>1.0</v>
      </c>
      <c r="Q32" s="10">
        <v>2.0</v>
      </c>
      <c r="R32" s="10">
        <v>4.0</v>
      </c>
      <c r="S32" s="10">
        <v>5.0</v>
      </c>
      <c r="T32" s="10">
        <v>7.0</v>
      </c>
    </row>
    <row r="33">
      <c r="A33" s="32" t="s">
        <v>28</v>
      </c>
      <c r="B33" s="10">
        <v>1.0</v>
      </c>
      <c r="C33" s="10">
        <v>3.0</v>
      </c>
      <c r="D33" s="10">
        <v>5.0</v>
      </c>
      <c r="E33" s="10">
        <v>5.0</v>
      </c>
      <c r="F33" s="10">
        <v>8.0</v>
      </c>
      <c r="H33" s="32" t="s">
        <v>28</v>
      </c>
      <c r="I33" s="10">
        <v>1.0</v>
      </c>
      <c r="J33" s="10">
        <v>3.0</v>
      </c>
      <c r="K33" s="10">
        <v>5.0</v>
      </c>
      <c r="L33" s="10">
        <v>5.0</v>
      </c>
      <c r="M33" s="10">
        <v>7.0</v>
      </c>
      <c r="O33" s="32" t="s">
        <v>28</v>
      </c>
      <c r="P33" s="10">
        <v>1.0</v>
      </c>
      <c r="Q33" s="10">
        <v>2.0</v>
      </c>
      <c r="R33" s="10">
        <v>3.0</v>
      </c>
      <c r="S33" s="10">
        <v>5.0</v>
      </c>
      <c r="T33" s="10">
        <v>7.0</v>
      </c>
    </row>
    <row r="34">
      <c r="A34" s="33" t="s">
        <v>29</v>
      </c>
      <c r="B34" s="10">
        <v>1.0</v>
      </c>
      <c r="C34" s="10">
        <v>2.0</v>
      </c>
      <c r="D34" s="10">
        <v>3.0</v>
      </c>
      <c r="E34" s="10">
        <v>5.0</v>
      </c>
      <c r="F34" s="10">
        <v>7.0</v>
      </c>
      <c r="H34" s="33" t="s">
        <v>29</v>
      </c>
      <c r="I34" s="10">
        <v>1.0</v>
      </c>
      <c r="J34" s="10">
        <v>2.0</v>
      </c>
      <c r="K34" s="10">
        <v>3.0</v>
      </c>
      <c r="L34" s="10">
        <v>5.0</v>
      </c>
      <c r="M34" s="10">
        <v>6.0</v>
      </c>
      <c r="O34" s="33" t="s">
        <v>29</v>
      </c>
      <c r="P34" s="10">
        <v>1.0</v>
      </c>
      <c r="Q34" s="10">
        <v>1.0</v>
      </c>
      <c r="R34" s="10">
        <v>1.0</v>
      </c>
      <c r="S34" s="10">
        <v>1.0</v>
      </c>
      <c r="T34" s="10">
        <v>1.0</v>
      </c>
    </row>
    <row r="35">
      <c r="A35" s="34" t="s">
        <v>30</v>
      </c>
      <c r="B35" s="35">
        <f t="shared" ref="B35:F35" si="4">SUM(B27:B34)</f>
        <v>10</v>
      </c>
      <c r="C35" s="35">
        <f t="shared" si="4"/>
        <v>16</v>
      </c>
      <c r="D35" s="35">
        <f t="shared" si="4"/>
        <v>22</v>
      </c>
      <c r="E35" s="35">
        <f t="shared" si="4"/>
        <v>30</v>
      </c>
      <c r="F35" s="35">
        <f t="shared" si="4"/>
        <v>40</v>
      </c>
      <c r="H35" s="34" t="s">
        <v>30</v>
      </c>
      <c r="I35" s="35">
        <f t="shared" ref="I35:M35" si="5">SUM(I27:I34)</f>
        <v>10</v>
      </c>
      <c r="J35" s="35">
        <f t="shared" si="5"/>
        <v>16</v>
      </c>
      <c r="K35" s="35">
        <f t="shared" si="5"/>
        <v>22</v>
      </c>
      <c r="L35" s="35">
        <f t="shared" si="5"/>
        <v>30</v>
      </c>
      <c r="M35" s="35">
        <f t="shared" si="5"/>
        <v>40</v>
      </c>
      <c r="O35" s="34" t="s">
        <v>30</v>
      </c>
      <c r="P35" s="35">
        <f t="shared" ref="P35:T35" si="6">SUM(P27:P34)</f>
        <v>10</v>
      </c>
      <c r="Q35" s="35">
        <f t="shared" si="6"/>
        <v>16</v>
      </c>
      <c r="R35" s="35">
        <f t="shared" si="6"/>
        <v>22</v>
      </c>
      <c r="S35" s="35">
        <f t="shared" si="6"/>
        <v>30</v>
      </c>
      <c r="T35" s="35">
        <f t="shared" si="6"/>
        <v>40</v>
      </c>
    </row>
    <row r="36">
      <c r="A36" s="47"/>
      <c r="B36" s="48"/>
      <c r="C36" s="48"/>
      <c r="D36" s="48"/>
      <c r="E36" s="48"/>
      <c r="F36" s="48"/>
      <c r="G36" s="48"/>
      <c r="H36" s="47"/>
      <c r="I36" s="48"/>
      <c r="J36" s="48"/>
      <c r="K36" s="48"/>
      <c r="L36" s="48"/>
      <c r="M36" s="48"/>
      <c r="N36" s="48"/>
      <c r="O36" s="47"/>
      <c r="P36" s="48"/>
      <c r="Q36" s="48"/>
      <c r="R36" s="48"/>
      <c r="S36" s="48"/>
      <c r="T36" s="48"/>
      <c r="U36" s="48"/>
    </row>
  </sheetData>
  <dataValidations>
    <dataValidation type="list" allowBlank="1" showErrorMessage="1" sqref="B13:F20 I13:M20 P13:T20 B27:F34 I27:M34 P27:T34">
      <formula1>Datos!$B$3:$B$12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3.63"/>
    <col customWidth="1" min="3" max="3" width="11.63"/>
    <col customWidth="1" min="4" max="4" width="9.63"/>
    <col customWidth="1" min="5" max="5" width="7.63"/>
    <col customWidth="1" min="6" max="6" width="9.38"/>
    <col customWidth="1" min="7" max="7" width="8.0"/>
    <col customWidth="1" min="8" max="8" width="7.38"/>
    <col customWidth="1" min="9" max="9" width="9.13"/>
    <col customWidth="1" min="10" max="10" width="7.88"/>
    <col customWidth="1" min="11" max="11" width="10.5"/>
    <col customWidth="1" min="12" max="12" width="12.5"/>
    <col customWidth="1" min="13" max="13" width="6.75"/>
    <col customWidth="1" min="14" max="14" width="13.0"/>
    <col customWidth="1" min="15" max="15" width="9.25"/>
    <col customWidth="1" min="16" max="16" width="27.0"/>
    <col customWidth="1" min="17" max="17" width="27.75"/>
    <col customWidth="1" min="18" max="18" width="8.63"/>
    <col customWidth="1" min="19" max="19" width="11.38"/>
    <col customWidth="1" min="20" max="20" width="8.63"/>
    <col customWidth="1" min="21" max="21" width="10.75"/>
    <col customWidth="1" min="22" max="22" width="8.63"/>
    <col customWidth="1" min="23" max="23" width="10.38"/>
    <col customWidth="1" min="24" max="26" width="8.63"/>
  </cols>
  <sheetData>
    <row r="1">
      <c r="A1" s="49" t="s">
        <v>58</v>
      </c>
      <c r="B1" s="49" t="s">
        <v>59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 t="s">
        <v>60</v>
      </c>
      <c r="O1" s="52" t="s">
        <v>61</v>
      </c>
      <c r="P1" s="53" t="s">
        <v>62</v>
      </c>
      <c r="Q1" s="54" t="s">
        <v>63</v>
      </c>
      <c r="R1" s="54"/>
      <c r="S1" s="55"/>
      <c r="T1" s="56" t="s">
        <v>64</v>
      </c>
      <c r="V1" s="50"/>
      <c r="W1" s="50"/>
      <c r="X1" s="50"/>
      <c r="Y1" s="50"/>
      <c r="Z1" s="50"/>
    </row>
    <row r="2">
      <c r="A2" s="50" t="s">
        <v>65</v>
      </c>
      <c r="B2" s="57">
        <v>0.0</v>
      </c>
      <c r="C2" s="41">
        <v>0.0</v>
      </c>
      <c r="D2" s="29">
        <v>1.0</v>
      </c>
      <c r="E2" s="29">
        <v>2.0</v>
      </c>
      <c r="F2" s="29">
        <v>3.0</v>
      </c>
      <c r="G2" s="29">
        <v>4.0</v>
      </c>
      <c r="H2" s="29">
        <v>5.0</v>
      </c>
      <c r="I2" s="29">
        <v>6.0</v>
      </c>
      <c r="J2" s="29">
        <v>7.0</v>
      </c>
      <c r="K2" s="29">
        <v>8.0</v>
      </c>
      <c r="L2" s="29">
        <v>9.0</v>
      </c>
      <c r="M2" s="29">
        <v>10.0</v>
      </c>
      <c r="N2" s="58">
        <v>600.0</v>
      </c>
      <c r="O2" s="59">
        <v>0.0</v>
      </c>
      <c r="P2" s="58">
        <v>8.0</v>
      </c>
      <c r="Q2" s="60">
        <v>0.0</v>
      </c>
      <c r="R2" s="58">
        <v>1.0</v>
      </c>
      <c r="S2" s="61"/>
      <c r="T2" s="58">
        <v>1.0</v>
      </c>
      <c r="U2" s="58">
        <v>0.0</v>
      </c>
      <c r="V2" s="50"/>
      <c r="W2" s="50"/>
      <c r="X2" s="50"/>
      <c r="Y2" s="50"/>
      <c r="Z2" s="50"/>
    </row>
    <row r="3">
      <c r="A3" s="50" t="s">
        <v>66</v>
      </c>
      <c r="B3" s="57">
        <v>1.0</v>
      </c>
      <c r="C3" s="41">
        <v>0.0</v>
      </c>
      <c r="D3" s="29">
        <v>1.0</v>
      </c>
      <c r="E3" s="29">
        <v>2.0</v>
      </c>
      <c r="F3" s="29">
        <v>3.0</v>
      </c>
      <c r="G3" s="29">
        <v>4.0</v>
      </c>
      <c r="H3" s="29">
        <v>5.0</v>
      </c>
      <c r="I3" s="29">
        <v>6.0</v>
      </c>
      <c r="J3" s="29">
        <v>7.0</v>
      </c>
      <c r="K3" s="29">
        <v>8.0</v>
      </c>
      <c r="L3" s="29">
        <v>9.0</v>
      </c>
      <c r="M3" s="29">
        <v>10.0</v>
      </c>
      <c r="N3" s="58">
        <v>900.0</v>
      </c>
      <c r="O3" s="59">
        <v>50.0</v>
      </c>
      <c r="P3" s="58">
        <v>16.0</v>
      </c>
      <c r="Q3" s="60">
        <v>0.0</v>
      </c>
      <c r="R3" s="58">
        <v>2.0</v>
      </c>
      <c r="S3" s="61"/>
      <c r="T3" s="58">
        <v>1.0</v>
      </c>
      <c r="U3" s="58">
        <v>1.0</v>
      </c>
      <c r="V3" s="50"/>
      <c r="W3" s="50"/>
      <c r="X3" s="50"/>
      <c r="Y3" s="50"/>
      <c r="Z3" s="50"/>
    </row>
    <row r="4">
      <c r="A4" s="50" t="s">
        <v>67</v>
      </c>
      <c r="B4" s="57">
        <v>2.0</v>
      </c>
      <c r="C4" s="41">
        <v>0.0</v>
      </c>
      <c r="D4" s="29">
        <v>1.0</v>
      </c>
      <c r="E4" s="29">
        <v>2.0</v>
      </c>
      <c r="F4" s="29">
        <v>3.0</v>
      </c>
      <c r="G4" s="29">
        <v>4.0</v>
      </c>
      <c r="H4" s="29">
        <v>5.0</v>
      </c>
      <c r="I4" s="29">
        <v>6.0</v>
      </c>
      <c r="J4" s="29">
        <v>7.0</v>
      </c>
      <c r="K4" s="29">
        <v>8.0</v>
      </c>
      <c r="L4" s="29">
        <v>9.0</v>
      </c>
      <c r="M4" s="29">
        <v>10.0</v>
      </c>
      <c r="N4" s="58">
        <v>1100.0</v>
      </c>
      <c r="O4" s="59">
        <v>100.0</v>
      </c>
      <c r="P4" s="58">
        <v>31.0</v>
      </c>
      <c r="Q4" s="60">
        <v>0.15</v>
      </c>
      <c r="R4" s="58">
        <v>3.0</v>
      </c>
      <c r="S4" s="61"/>
      <c r="T4" s="58">
        <v>1.0</v>
      </c>
      <c r="U4" s="58">
        <v>2.0</v>
      </c>
      <c r="V4" s="50"/>
      <c r="W4" s="50"/>
      <c r="X4" s="50"/>
      <c r="Y4" s="50"/>
      <c r="Z4" s="50"/>
    </row>
    <row r="5">
      <c r="A5" s="50" t="s">
        <v>68</v>
      </c>
      <c r="B5" s="57">
        <v>3.0</v>
      </c>
      <c r="C5" s="41">
        <v>0.0</v>
      </c>
      <c r="D5" s="29">
        <v>1.0</v>
      </c>
      <c r="E5" s="29">
        <v>2.0</v>
      </c>
      <c r="F5" s="29">
        <v>3.0</v>
      </c>
      <c r="G5" s="29">
        <v>4.0</v>
      </c>
      <c r="H5" s="29">
        <v>5.0</v>
      </c>
      <c r="I5" s="29">
        <v>6.0</v>
      </c>
      <c r="J5" s="29">
        <v>7.0</v>
      </c>
      <c r="K5" s="29">
        <v>8.0</v>
      </c>
      <c r="L5" s="29">
        <v>9.0</v>
      </c>
      <c r="M5" s="29">
        <v>10.0</v>
      </c>
      <c r="N5" s="58">
        <v>1200.0</v>
      </c>
      <c r="O5" s="59">
        <v>150.0</v>
      </c>
      <c r="P5" s="58">
        <v>46.0</v>
      </c>
      <c r="Q5" s="60">
        <v>0.2</v>
      </c>
      <c r="R5" s="58">
        <v>4.0</v>
      </c>
      <c r="S5" s="61"/>
      <c r="T5" s="58">
        <v>2.0</v>
      </c>
      <c r="U5" s="58">
        <v>3.0</v>
      </c>
      <c r="V5" s="50"/>
      <c r="W5" s="50"/>
      <c r="X5" s="50"/>
      <c r="Y5" s="50"/>
      <c r="Z5" s="50"/>
    </row>
    <row r="6">
      <c r="A6" s="50" t="s">
        <v>69</v>
      </c>
      <c r="B6" s="57">
        <v>4.0</v>
      </c>
      <c r="C6" s="41">
        <v>0.0</v>
      </c>
      <c r="D6" s="29">
        <v>1.0</v>
      </c>
      <c r="E6" s="29">
        <v>2.0</v>
      </c>
      <c r="F6" s="29">
        <v>3.0</v>
      </c>
      <c r="G6" s="29">
        <v>4.0</v>
      </c>
      <c r="H6" s="29">
        <v>5.0</v>
      </c>
      <c r="I6" s="29">
        <v>6.0</v>
      </c>
      <c r="J6" s="29">
        <v>7.0</v>
      </c>
      <c r="K6" s="29">
        <v>8.0</v>
      </c>
      <c r="L6" s="29">
        <v>9.0</v>
      </c>
      <c r="M6" s="29">
        <v>10.0</v>
      </c>
      <c r="N6" s="58">
        <v>1300.0</v>
      </c>
      <c r="O6" s="59">
        <v>200.0</v>
      </c>
      <c r="P6" s="58">
        <v>56.0</v>
      </c>
      <c r="Q6" s="60">
        <v>0.25</v>
      </c>
      <c r="R6" s="58">
        <v>5.0</v>
      </c>
      <c r="S6" s="61"/>
      <c r="T6" s="58">
        <v>2.0</v>
      </c>
      <c r="U6" s="58">
        <v>4.0</v>
      </c>
      <c r="V6" s="50"/>
      <c r="W6" s="50"/>
      <c r="X6" s="50"/>
      <c r="Y6" s="50"/>
      <c r="Z6" s="50"/>
    </row>
    <row r="7">
      <c r="A7" s="50"/>
      <c r="B7" s="57">
        <v>5.0</v>
      </c>
      <c r="C7" s="41">
        <v>0.0</v>
      </c>
      <c r="D7" s="29">
        <v>1.0</v>
      </c>
      <c r="E7" s="29">
        <v>2.0</v>
      </c>
      <c r="F7" s="29">
        <v>3.0</v>
      </c>
      <c r="G7" s="29">
        <v>4.0</v>
      </c>
      <c r="H7" s="29">
        <v>5.0</v>
      </c>
      <c r="I7" s="29">
        <v>6.0</v>
      </c>
      <c r="J7" s="29">
        <v>7.0</v>
      </c>
      <c r="K7" s="29">
        <v>8.0</v>
      </c>
      <c r="L7" s="29">
        <v>9.0</v>
      </c>
      <c r="M7" s="29">
        <v>10.0</v>
      </c>
      <c r="N7" s="62"/>
      <c r="O7" s="55"/>
      <c r="P7" s="55"/>
      <c r="S7" s="61"/>
      <c r="T7" s="58">
        <v>3.0</v>
      </c>
      <c r="U7" s="58">
        <v>5.0</v>
      </c>
      <c r="V7" s="50"/>
      <c r="W7" s="50"/>
      <c r="X7" s="50"/>
      <c r="Y7" s="50"/>
      <c r="Z7" s="50"/>
    </row>
    <row r="8">
      <c r="A8" s="50"/>
      <c r="B8" s="57">
        <v>6.0</v>
      </c>
      <c r="C8" s="41">
        <v>0.0</v>
      </c>
      <c r="D8" s="29">
        <v>1.0</v>
      </c>
      <c r="E8" s="29">
        <v>2.0</v>
      </c>
      <c r="F8" s="29">
        <v>3.0</v>
      </c>
      <c r="G8" s="29">
        <v>4.0</v>
      </c>
      <c r="H8" s="29">
        <v>5.0</v>
      </c>
      <c r="I8" s="29">
        <v>6.0</v>
      </c>
      <c r="J8" s="29">
        <v>7.0</v>
      </c>
      <c r="K8" s="29">
        <v>8.0</v>
      </c>
      <c r="L8" s="29">
        <v>9.0</v>
      </c>
      <c r="M8" s="29">
        <v>10.0</v>
      </c>
      <c r="N8" s="29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50"/>
      <c r="B9" s="57">
        <v>7.0</v>
      </c>
      <c r="C9" s="41">
        <v>0.0</v>
      </c>
      <c r="D9" s="29">
        <v>1.0</v>
      </c>
      <c r="E9" s="29">
        <v>2.0</v>
      </c>
      <c r="F9" s="29">
        <v>3.0</v>
      </c>
      <c r="G9" s="29">
        <v>4.0</v>
      </c>
      <c r="H9" s="29">
        <v>5.0</v>
      </c>
      <c r="I9" s="29">
        <v>6.0</v>
      </c>
      <c r="J9" s="29">
        <v>7.0</v>
      </c>
      <c r="K9" s="29">
        <v>8.0</v>
      </c>
      <c r="L9" s="29">
        <v>9.0</v>
      </c>
      <c r="M9" s="29">
        <v>10.0</v>
      </c>
      <c r="N9" s="29"/>
      <c r="O9" s="50"/>
      <c r="P9" s="50"/>
      <c r="U9" s="50"/>
      <c r="V9" s="50"/>
      <c r="W9" s="50"/>
      <c r="X9" s="50"/>
      <c r="Y9" s="50"/>
      <c r="Z9" s="50"/>
    </row>
    <row r="10">
      <c r="A10" s="50"/>
      <c r="B10" s="57">
        <v>8.0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U10" s="50"/>
      <c r="V10" s="50"/>
      <c r="W10" s="50"/>
      <c r="X10" s="50"/>
      <c r="Y10" s="50"/>
      <c r="Z10" s="50"/>
    </row>
    <row r="11">
      <c r="A11" s="50"/>
      <c r="B11" s="57">
        <v>9.0</v>
      </c>
      <c r="C11" s="50"/>
      <c r="D11" s="50"/>
      <c r="E11" s="50"/>
      <c r="F11" s="50"/>
      <c r="G11" s="50"/>
      <c r="H11" s="50"/>
      <c r="I11" s="50"/>
      <c r="J11" s="50"/>
      <c r="K11" s="50"/>
      <c r="M11" s="50"/>
      <c r="N11" s="50"/>
      <c r="U11" s="50"/>
      <c r="V11" s="50"/>
      <c r="W11" s="50"/>
      <c r="X11" s="50"/>
      <c r="Y11" s="50"/>
      <c r="Z11" s="50"/>
    </row>
    <row r="12">
      <c r="A12" s="50"/>
      <c r="B12" s="57">
        <v>10.0</v>
      </c>
      <c r="C12" s="50"/>
      <c r="D12" s="50"/>
      <c r="E12" s="50"/>
      <c r="F12" s="50"/>
      <c r="G12" s="50"/>
      <c r="H12" s="50"/>
      <c r="I12" s="50"/>
      <c r="J12" s="50"/>
      <c r="K12" s="50"/>
      <c r="M12" s="50"/>
      <c r="N12" s="50"/>
      <c r="U12" s="50"/>
      <c r="V12" s="50"/>
      <c r="W12" s="50"/>
      <c r="X12" s="50"/>
      <c r="Y12" s="50"/>
      <c r="Z12" s="50"/>
    </row>
    <row r="13">
      <c r="A13" s="50"/>
      <c r="B13" s="50"/>
      <c r="C13" s="50"/>
      <c r="D13" s="50"/>
      <c r="E13" s="50"/>
      <c r="F13" s="50"/>
      <c r="G13" s="50"/>
      <c r="H13" s="50"/>
      <c r="I13" s="36"/>
      <c r="J13" s="50"/>
      <c r="K13" s="50"/>
      <c r="M13" s="50"/>
      <c r="N13" s="50"/>
      <c r="U13" s="50"/>
      <c r="V13" s="50"/>
      <c r="W13" s="50"/>
      <c r="X13" s="50"/>
      <c r="Y13" s="50"/>
      <c r="Z13" s="50"/>
    </row>
    <row r="14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M14" s="50"/>
      <c r="N14" s="50"/>
      <c r="U14" s="50"/>
      <c r="V14" s="50"/>
      <c r="W14" s="50"/>
      <c r="X14" s="50"/>
      <c r="Y14" s="50"/>
      <c r="Z14" s="50"/>
    </row>
    <row r="15">
      <c r="A15" s="63" t="s">
        <v>70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M15" s="50"/>
      <c r="N15" s="50"/>
      <c r="U15" s="50"/>
      <c r="V15" s="50"/>
      <c r="W15" s="50"/>
      <c r="X15" s="50"/>
      <c r="Y15" s="50"/>
      <c r="Z15" s="50"/>
    </row>
    <row r="16">
      <c r="A16" s="64" t="s">
        <v>71</v>
      </c>
      <c r="B16" s="36">
        <v>100.0</v>
      </c>
      <c r="C16" s="36"/>
      <c r="D16" s="36"/>
      <c r="E16" s="36"/>
      <c r="F16" s="36"/>
      <c r="G16" s="36"/>
      <c r="H16" s="36"/>
      <c r="I16" s="50"/>
      <c r="J16" s="50"/>
      <c r="K16" s="50"/>
      <c r="M16" s="50"/>
      <c r="X16" s="50"/>
      <c r="Y16" s="50"/>
      <c r="Z16" s="50"/>
    </row>
    <row r="17">
      <c r="A17" s="64" t="s">
        <v>72</v>
      </c>
      <c r="B17" s="36">
        <v>100.0</v>
      </c>
      <c r="C17" s="36"/>
      <c r="D17" s="36"/>
      <c r="E17" s="36"/>
      <c r="F17" s="36"/>
      <c r="G17" s="36"/>
      <c r="H17" s="36"/>
      <c r="I17" s="50"/>
      <c r="J17" s="50"/>
      <c r="K17" s="50"/>
      <c r="M17" s="50"/>
      <c r="X17" s="50"/>
      <c r="Y17" s="50"/>
      <c r="Z17" s="50"/>
    </row>
    <row r="18">
      <c r="A18" s="65"/>
      <c r="F18" s="36"/>
      <c r="G18" s="36"/>
      <c r="H18" s="36"/>
      <c r="M18" s="50"/>
      <c r="X18" s="50"/>
      <c r="Y18" s="50"/>
      <c r="Z18" s="50"/>
    </row>
    <row r="19">
      <c r="A19" s="36"/>
      <c r="B19" s="37" t="s">
        <v>73</v>
      </c>
      <c r="C19" s="38" t="s">
        <v>34</v>
      </c>
      <c r="D19" s="39" t="s">
        <v>35</v>
      </c>
      <c r="E19" s="39" t="s">
        <v>74</v>
      </c>
      <c r="F19" s="66" t="s">
        <v>75</v>
      </c>
      <c r="G19" s="67" t="s">
        <v>76</v>
      </c>
      <c r="H19" s="67" t="s">
        <v>77</v>
      </c>
      <c r="I19" s="66" t="s">
        <v>78</v>
      </c>
      <c r="J19" s="67" t="s">
        <v>79</v>
      </c>
      <c r="O19" s="39" t="s">
        <v>80</v>
      </c>
      <c r="P19" s="39">
        <f>H38</f>
        <v>2.5</v>
      </c>
      <c r="Q19" s="39" t="s">
        <v>80</v>
      </c>
      <c r="R19" s="39">
        <f>I38</f>
        <v>2.6</v>
      </c>
      <c r="S19" s="39" t="s">
        <v>80</v>
      </c>
      <c r="T19" s="39">
        <f>K38</f>
        <v>2.8</v>
      </c>
      <c r="U19" s="39" t="s">
        <v>80</v>
      </c>
      <c r="V19" s="39">
        <f>M38</f>
        <v>3</v>
      </c>
      <c r="X19" s="50"/>
      <c r="Y19" s="50"/>
      <c r="Z19" s="50"/>
    </row>
    <row r="20">
      <c r="A20" s="39" t="s">
        <v>37</v>
      </c>
      <c r="B20" s="42" t="s">
        <v>38</v>
      </c>
      <c r="C20" s="43">
        <v>1.0</v>
      </c>
      <c r="D20" s="44">
        <v>3.0</v>
      </c>
      <c r="E20" s="44">
        <f t="shared" ref="E20:E24" si="1">N2+C20*$B$16</f>
        <v>700</v>
      </c>
      <c r="F20" s="68">
        <f t="shared" ref="F20:F24" si="2">(E20+G20)/2</f>
        <v>800</v>
      </c>
      <c r="G20" s="44">
        <f t="shared" ref="G20:G24" si="3">N2+D20*$B$16</f>
        <v>900</v>
      </c>
      <c r="H20" s="44">
        <f t="shared" ref="H20:H24" si="4">$B$17*C20+O2</f>
        <v>100</v>
      </c>
      <c r="I20" s="68">
        <f t="shared" ref="I20:I24" si="5">(H20+J20)/2</f>
        <v>200</v>
      </c>
      <c r="J20" s="44">
        <f t="shared" ref="J20:J24" si="6">$B$17*D20+O2</f>
        <v>300</v>
      </c>
      <c r="N20" s="39" t="s">
        <v>37</v>
      </c>
      <c r="O20" s="36">
        <v>2.0</v>
      </c>
      <c r="P20" s="50">
        <f t="shared" ref="P20:P25" si="7">O20*H31</f>
        <v>750</v>
      </c>
      <c r="Q20" s="36">
        <v>2.0</v>
      </c>
      <c r="R20" s="50">
        <f t="shared" ref="R20:R25" si="8">Q20*I31</f>
        <v>780</v>
      </c>
      <c r="S20" s="36"/>
      <c r="T20" s="50"/>
      <c r="U20" s="36"/>
      <c r="V20" s="50"/>
      <c r="X20" s="50"/>
      <c r="Y20" s="50"/>
      <c r="Z20" s="50"/>
    </row>
    <row r="21" ht="15.75" customHeight="1">
      <c r="A21" s="39" t="s">
        <v>40</v>
      </c>
      <c r="B21" s="42" t="s">
        <v>81</v>
      </c>
      <c r="C21" s="43">
        <v>1.0</v>
      </c>
      <c r="D21" s="44">
        <v>4.0</v>
      </c>
      <c r="E21" s="44">
        <f t="shared" si="1"/>
        <v>1000</v>
      </c>
      <c r="F21" s="68">
        <f t="shared" si="2"/>
        <v>1150</v>
      </c>
      <c r="G21" s="44">
        <f t="shared" si="3"/>
        <v>1300</v>
      </c>
      <c r="H21" s="44">
        <f t="shared" si="4"/>
        <v>150</v>
      </c>
      <c r="I21" s="68">
        <f t="shared" si="5"/>
        <v>300</v>
      </c>
      <c r="J21" s="44">
        <f t="shared" si="6"/>
        <v>450</v>
      </c>
      <c r="L21" s="41">
        <v>460.0</v>
      </c>
      <c r="N21" s="39" t="s">
        <v>40</v>
      </c>
      <c r="O21" s="36">
        <v>2.0</v>
      </c>
      <c r="P21" s="50">
        <f t="shared" si="7"/>
        <v>1000</v>
      </c>
      <c r="Q21" s="36">
        <v>2.0</v>
      </c>
      <c r="R21" s="50">
        <f t="shared" si="8"/>
        <v>1040</v>
      </c>
      <c r="S21" s="36"/>
      <c r="U21" s="36"/>
      <c r="X21" s="50"/>
      <c r="Y21" s="50"/>
      <c r="Z21" s="50"/>
    </row>
    <row r="22" ht="15.75" customHeight="1">
      <c r="A22" s="39" t="s">
        <v>43</v>
      </c>
      <c r="B22" s="44" t="s">
        <v>82</v>
      </c>
      <c r="C22" s="43">
        <v>1.0</v>
      </c>
      <c r="D22" s="44">
        <v>5.0</v>
      </c>
      <c r="E22" s="44">
        <f t="shared" si="1"/>
        <v>1200</v>
      </c>
      <c r="F22" s="68">
        <f t="shared" si="2"/>
        <v>1400</v>
      </c>
      <c r="G22" s="44">
        <f t="shared" si="3"/>
        <v>1600</v>
      </c>
      <c r="H22" s="44">
        <f t="shared" si="4"/>
        <v>200</v>
      </c>
      <c r="I22" s="68">
        <f t="shared" si="5"/>
        <v>400</v>
      </c>
      <c r="J22" s="44">
        <f t="shared" si="6"/>
        <v>600</v>
      </c>
      <c r="N22" s="39" t="s">
        <v>43</v>
      </c>
      <c r="O22" s="36">
        <v>2.0</v>
      </c>
      <c r="P22" s="50">
        <f t="shared" si="7"/>
        <v>1250</v>
      </c>
      <c r="Q22" s="36">
        <v>2.0</v>
      </c>
      <c r="R22" s="50">
        <f t="shared" si="8"/>
        <v>1300</v>
      </c>
      <c r="S22" s="36">
        <v>2.0</v>
      </c>
      <c r="T22" s="50">
        <f t="shared" ref="T22:T25" si="9">S22*K33</f>
        <v>1400</v>
      </c>
      <c r="U22" s="36">
        <v>2.0</v>
      </c>
      <c r="V22" s="50">
        <f t="shared" ref="V22:V25" si="10">U22*M33</f>
        <v>1500</v>
      </c>
      <c r="X22" s="50"/>
      <c r="Y22" s="50"/>
      <c r="Z22" s="50"/>
    </row>
    <row r="23" ht="15.75" customHeight="1">
      <c r="A23" s="39" t="s">
        <v>46</v>
      </c>
      <c r="B23" s="44" t="s">
        <v>83</v>
      </c>
      <c r="C23" s="43">
        <v>1.0</v>
      </c>
      <c r="D23" s="44">
        <v>6.0</v>
      </c>
      <c r="E23" s="44">
        <f t="shared" si="1"/>
        <v>1300</v>
      </c>
      <c r="F23" s="68">
        <f t="shared" si="2"/>
        <v>1550</v>
      </c>
      <c r="G23" s="44">
        <f t="shared" si="3"/>
        <v>1800</v>
      </c>
      <c r="H23" s="44">
        <f t="shared" si="4"/>
        <v>250</v>
      </c>
      <c r="I23" s="68">
        <f t="shared" si="5"/>
        <v>500</v>
      </c>
      <c r="J23" s="44">
        <f t="shared" si="6"/>
        <v>750</v>
      </c>
      <c r="N23" s="39" t="s">
        <v>46</v>
      </c>
      <c r="O23" s="36">
        <v>2.0</v>
      </c>
      <c r="P23" s="50">
        <f t="shared" si="7"/>
        <v>1500</v>
      </c>
      <c r="Q23" s="36">
        <v>2.0</v>
      </c>
      <c r="R23" s="50">
        <f t="shared" si="8"/>
        <v>1560</v>
      </c>
      <c r="S23" s="36">
        <v>2.0</v>
      </c>
      <c r="T23" s="50">
        <f t="shared" si="9"/>
        <v>1680</v>
      </c>
      <c r="U23" s="36">
        <v>2.0</v>
      </c>
      <c r="V23" s="50">
        <f t="shared" si="10"/>
        <v>1800</v>
      </c>
      <c r="X23" s="50"/>
      <c r="Y23" s="50"/>
      <c r="Z23" s="50"/>
    </row>
    <row r="24" ht="15.75" customHeight="1">
      <c r="A24" s="39" t="s">
        <v>49</v>
      </c>
      <c r="B24" s="44" t="s">
        <v>84</v>
      </c>
      <c r="C24" s="43">
        <v>1.0</v>
      </c>
      <c r="D24" s="44">
        <v>8.0</v>
      </c>
      <c r="E24" s="44">
        <f t="shared" si="1"/>
        <v>1400</v>
      </c>
      <c r="F24" s="68">
        <f t="shared" si="2"/>
        <v>1750</v>
      </c>
      <c r="G24" s="44">
        <f t="shared" si="3"/>
        <v>2100</v>
      </c>
      <c r="H24" s="44">
        <f t="shared" si="4"/>
        <v>300</v>
      </c>
      <c r="I24" s="68">
        <f t="shared" si="5"/>
        <v>650</v>
      </c>
      <c r="J24" s="44">
        <f t="shared" si="6"/>
        <v>1000</v>
      </c>
      <c r="N24" s="39" t="s">
        <v>49</v>
      </c>
      <c r="O24" s="36">
        <v>2.0</v>
      </c>
      <c r="P24" s="50">
        <f t="shared" si="7"/>
        <v>2000</v>
      </c>
      <c r="Q24" s="36">
        <v>2.0</v>
      </c>
      <c r="R24" s="50">
        <f t="shared" si="8"/>
        <v>2080</v>
      </c>
      <c r="S24" s="36">
        <v>2.0</v>
      </c>
      <c r="T24" s="50">
        <f t="shared" si="9"/>
        <v>2240</v>
      </c>
      <c r="U24" s="36">
        <v>2.0</v>
      </c>
      <c r="V24" s="50">
        <f t="shared" si="10"/>
        <v>2400</v>
      </c>
      <c r="X24" s="50"/>
      <c r="Y24" s="50"/>
      <c r="Z24" s="50"/>
    </row>
    <row r="25" ht="15.75" customHeight="1">
      <c r="A25" s="45"/>
      <c r="B25" s="44"/>
      <c r="C25" s="44"/>
      <c r="D25" s="44">
        <v>9.0</v>
      </c>
      <c r="E25" s="44"/>
      <c r="F25" s="68"/>
      <c r="G25" s="44">
        <f t="shared" ref="G25:G26" si="11">$N$6+D25*$B$16</f>
        <v>2200</v>
      </c>
      <c r="H25" s="44"/>
      <c r="I25" s="69"/>
      <c r="J25" s="44">
        <f t="shared" ref="J25:J26" si="12">$B$17*D25+$O$6</f>
        <v>1100</v>
      </c>
      <c r="O25" s="36">
        <v>2.0</v>
      </c>
      <c r="P25" s="50">
        <f t="shared" si="7"/>
        <v>2250</v>
      </c>
      <c r="Q25" s="36">
        <v>2.0</v>
      </c>
      <c r="R25" s="50">
        <f t="shared" si="8"/>
        <v>2340</v>
      </c>
      <c r="S25" s="36">
        <v>2.0</v>
      </c>
      <c r="T25" s="50">
        <f t="shared" si="9"/>
        <v>2520</v>
      </c>
      <c r="U25" s="36">
        <v>2.0</v>
      </c>
      <c r="V25" s="50">
        <f t="shared" si="10"/>
        <v>2700</v>
      </c>
      <c r="X25" s="50"/>
      <c r="Y25" s="50"/>
      <c r="Z25" s="50"/>
    </row>
    <row r="26" ht="15.75" customHeight="1">
      <c r="A26" s="45"/>
      <c r="B26" s="44"/>
      <c r="C26" s="44"/>
      <c r="D26" s="44">
        <v>10.0</v>
      </c>
      <c r="E26" s="44"/>
      <c r="F26" s="68"/>
      <c r="G26" s="44">
        <f t="shared" si="11"/>
        <v>2300</v>
      </c>
      <c r="H26" s="44"/>
      <c r="I26" s="69"/>
      <c r="J26" s="44">
        <f t="shared" si="12"/>
        <v>1200</v>
      </c>
      <c r="M26" s="50"/>
      <c r="X26" s="36"/>
      <c r="Y26" s="50"/>
      <c r="Z26" s="50"/>
    </row>
    <row r="27" ht="15.75" customHeight="1">
      <c r="A27" s="50"/>
      <c r="B27" s="50"/>
      <c r="C27" s="36"/>
      <c r="D27" s="36"/>
      <c r="E27" s="50"/>
      <c r="F27" s="50"/>
      <c r="G27" s="50"/>
      <c r="H27" s="50"/>
      <c r="I27" s="50"/>
      <c r="J27" s="50"/>
      <c r="M27" s="50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50"/>
      <c r="Z27" s="50"/>
    </row>
    <row r="28" ht="15.75" customHeight="1">
      <c r="A28" s="50"/>
      <c r="B28" s="50"/>
      <c r="C28" s="36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ht="15.75" customHeight="1">
      <c r="A29" s="47" t="s">
        <v>85</v>
      </c>
      <c r="B29" s="41" t="s">
        <v>86</v>
      </c>
      <c r="D29" s="64">
        <v>50.0</v>
      </c>
      <c r="F29" s="41" t="s">
        <v>87</v>
      </c>
      <c r="H29" s="70">
        <v>0.8</v>
      </c>
    </row>
    <row r="30" ht="15.75" customHeight="1">
      <c r="A30" s="65"/>
      <c r="B30" s="71"/>
      <c r="C30" s="71" t="s">
        <v>88</v>
      </c>
      <c r="D30" s="71"/>
      <c r="E30" s="72" t="s">
        <v>89</v>
      </c>
      <c r="I30" s="73"/>
      <c r="J30" s="73" t="s">
        <v>90</v>
      </c>
      <c r="K30" s="74"/>
      <c r="L30" s="75" t="s">
        <v>49</v>
      </c>
      <c r="O30" s="64" t="s">
        <v>91</v>
      </c>
      <c r="P30" s="50"/>
      <c r="Q30" s="50"/>
      <c r="R30" s="50"/>
    </row>
    <row r="31" ht="15.75" hidden="1" customHeight="1">
      <c r="A31" s="39" t="s">
        <v>37</v>
      </c>
      <c r="B31" s="76">
        <f t="shared" ref="B31:M31" si="13">$D$20*B39</f>
        <v>285</v>
      </c>
      <c r="C31" s="76">
        <f t="shared" si="13"/>
        <v>300</v>
      </c>
      <c r="D31" s="76">
        <f t="shared" si="13"/>
        <v>315</v>
      </c>
      <c r="E31" s="76">
        <f t="shared" si="13"/>
        <v>330</v>
      </c>
      <c r="F31" s="76">
        <f t="shared" si="13"/>
        <v>345</v>
      </c>
      <c r="G31" s="76">
        <f t="shared" si="13"/>
        <v>360</v>
      </c>
      <c r="H31" s="76">
        <f t="shared" si="13"/>
        <v>375</v>
      </c>
      <c r="I31" s="76">
        <f t="shared" si="13"/>
        <v>390</v>
      </c>
      <c r="J31" s="76">
        <f t="shared" si="13"/>
        <v>405</v>
      </c>
      <c r="K31" s="76">
        <f t="shared" si="13"/>
        <v>420</v>
      </c>
      <c r="L31" s="76">
        <f t="shared" si="13"/>
        <v>435</v>
      </c>
      <c r="M31" s="76">
        <f t="shared" si="13"/>
        <v>450</v>
      </c>
      <c r="O31" s="65"/>
      <c r="R31" s="50"/>
    </row>
    <row r="32" ht="15.75" hidden="1" customHeight="1">
      <c r="A32" s="39" t="s">
        <v>40</v>
      </c>
      <c r="B32" s="76">
        <f t="shared" ref="B32:M32" si="14">$D$21*B39</f>
        <v>380</v>
      </c>
      <c r="C32" s="76">
        <f t="shared" si="14"/>
        <v>400</v>
      </c>
      <c r="D32" s="76">
        <f t="shared" si="14"/>
        <v>420</v>
      </c>
      <c r="E32" s="76">
        <f t="shared" si="14"/>
        <v>440</v>
      </c>
      <c r="F32" s="76">
        <f t="shared" si="14"/>
        <v>460</v>
      </c>
      <c r="G32" s="76">
        <f t="shared" si="14"/>
        <v>480</v>
      </c>
      <c r="H32" s="76">
        <f t="shared" si="14"/>
        <v>500</v>
      </c>
      <c r="I32" s="76">
        <f t="shared" si="14"/>
        <v>520</v>
      </c>
      <c r="J32" s="76">
        <f t="shared" si="14"/>
        <v>540</v>
      </c>
      <c r="K32" s="76">
        <f t="shared" si="14"/>
        <v>560</v>
      </c>
      <c r="L32" s="76">
        <f t="shared" si="14"/>
        <v>580</v>
      </c>
      <c r="M32" s="76">
        <f t="shared" si="14"/>
        <v>600</v>
      </c>
      <c r="O32" s="65"/>
    </row>
    <row r="33" ht="15.75" hidden="1" customHeight="1">
      <c r="A33" s="39" t="s">
        <v>43</v>
      </c>
      <c r="B33" s="76">
        <f t="shared" ref="B33:M33" si="15">$D$22*B39</f>
        <v>475</v>
      </c>
      <c r="C33" s="76">
        <f t="shared" si="15"/>
        <v>500</v>
      </c>
      <c r="D33" s="76">
        <f t="shared" si="15"/>
        <v>525</v>
      </c>
      <c r="E33" s="76">
        <f t="shared" si="15"/>
        <v>550</v>
      </c>
      <c r="F33" s="76">
        <f t="shared" si="15"/>
        <v>575</v>
      </c>
      <c r="G33" s="76">
        <f t="shared" si="15"/>
        <v>600</v>
      </c>
      <c r="H33" s="76">
        <f t="shared" si="15"/>
        <v>625</v>
      </c>
      <c r="I33" s="76">
        <f t="shared" si="15"/>
        <v>650</v>
      </c>
      <c r="J33" s="76">
        <f t="shared" si="15"/>
        <v>675</v>
      </c>
      <c r="K33" s="76">
        <f t="shared" si="15"/>
        <v>700</v>
      </c>
      <c r="L33" s="76">
        <f t="shared" si="15"/>
        <v>725</v>
      </c>
      <c r="M33" s="76">
        <f t="shared" si="15"/>
        <v>750</v>
      </c>
      <c r="O33" s="65"/>
    </row>
    <row r="34" ht="15.75" hidden="1" customHeight="1">
      <c r="A34" s="39" t="s">
        <v>46</v>
      </c>
      <c r="B34" s="76">
        <f t="shared" ref="B34:M34" si="16">$D$23*B39</f>
        <v>570</v>
      </c>
      <c r="C34" s="76">
        <f t="shared" si="16"/>
        <v>600</v>
      </c>
      <c r="D34" s="76">
        <f t="shared" si="16"/>
        <v>630</v>
      </c>
      <c r="E34" s="76">
        <f t="shared" si="16"/>
        <v>660</v>
      </c>
      <c r="F34" s="76">
        <f t="shared" si="16"/>
        <v>690</v>
      </c>
      <c r="G34" s="76">
        <f t="shared" si="16"/>
        <v>720</v>
      </c>
      <c r="H34" s="76">
        <f t="shared" si="16"/>
        <v>750</v>
      </c>
      <c r="I34" s="76">
        <f t="shared" si="16"/>
        <v>780</v>
      </c>
      <c r="J34" s="76">
        <f t="shared" si="16"/>
        <v>810</v>
      </c>
      <c r="K34" s="76">
        <f t="shared" si="16"/>
        <v>840</v>
      </c>
      <c r="L34" s="76">
        <f t="shared" si="16"/>
        <v>870</v>
      </c>
      <c r="M34" s="76">
        <f t="shared" si="16"/>
        <v>900</v>
      </c>
      <c r="O34" s="65"/>
    </row>
    <row r="35" ht="15.75" hidden="1" customHeight="1">
      <c r="A35" s="39" t="s">
        <v>49</v>
      </c>
      <c r="B35" s="76">
        <f t="shared" ref="B35:M35" si="17">$D$24*B39</f>
        <v>760</v>
      </c>
      <c r="C35" s="76">
        <f t="shared" si="17"/>
        <v>800</v>
      </c>
      <c r="D35" s="76">
        <f t="shared" si="17"/>
        <v>840</v>
      </c>
      <c r="E35" s="76">
        <f t="shared" si="17"/>
        <v>880</v>
      </c>
      <c r="F35" s="76">
        <f t="shared" si="17"/>
        <v>920</v>
      </c>
      <c r="G35" s="76">
        <f t="shared" si="17"/>
        <v>960</v>
      </c>
      <c r="H35" s="76">
        <f t="shared" si="17"/>
        <v>1000</v>
      </c>
      <c r="I35" s="76">
        <f t="shared" si="17"/>
        <v>1040</v>
      </c>
      <c r="J35" s="76">
        <f t="shared" si="17"/>
        <v>1080</v>
      </c>
      <c r="K35" s="76">
        <f t="shared" si="17"/>
        <v>1120</v>
      </c>
      <c r="L35" s="76">
        <f t="shared" si="17"/>
        <v>1160</v>
      </c>
      <c r="M35" s="76">
        <f t="shared" si="17"/>
        <v>1200</v>
      </c>
      <c r="O35" s="65"/>
    </row>
    <row r="36" ht="15.75" hidden="1" customHeight="1">
      <c r="A36" s="45"/>
      <c r="B36" s="76">
        <f t="shared" ref="B36:M36" si="18">$D$25*B39</f>
        <v>855</v>
      </c>
      <c r="C36" s="76">
        <f t="shared" si="18"/>
        <v>900</v>
      </c>
      <c r="D36" s="76">
        <f t="shared" si="18"/>
        <v>945</v>
      </c>
      <c r="E36" s="76">
        <f t="shared" si="18"/>
        <v>990</v>
      </c>
      <c r="F36" s="76">
        <f t="shared" si="18"/>
        <v>1035</v>
      </c>
      <c r="G36" s="76">
        <f t="shared" si="18"/>
        <v>1080</v>
      </c>
      <c r="H36" s="76">
        <f t="shared" si="18"/>
        <v>1125</v>
      </c>
      <c r="I36" s="76">
        <f t="shared" si="18"/>
        <v>1170</v>
      </c>
      <c r="J36" s="76">
        <f t="shared" si="18"/>
        <v>1215</v>
      </c>
      <c r="K36" s="76">
        <f t="shared" si="18"/>
        <v>1260</v>
      </c>
      <c r="L36" s="76">
        <f t="shared" si="18"/>
        <v>1305</v>
      </c>
      <c r="M36" s="76">
        <f t="shared" si="18"/>
        <v>1350</v>
      </c>
      <c r="O36" s="65"/>
    </row>
    <row r="37" ht="15.75" hidden="1" customHeight="1">
      <c r="A37" s="45"/>
      <c r="B37" s="76">
        <f t="shared" ref="B37:M37" si="19">$D$26*B39</f>
        <v>950</v>
      </c>
      <c r="C37" s="76">
        <f t="shared" si="19"/>
        <v>1000</v>
      </c>
      <c r="D37" s="76">
        <f t="shared" si="19"/>
        <v>1050</v>
      </c>
      <c r="E37" s="76">
        <f t="shared" si="19"/>
        <v>1100</v>
      </c>
      <c r="F37" s="76">
        <f t="shared" si="19"/>
        <v>1150</v>
      </c>
      <c r="G37" s="76">
        <f t="shared" si="19"/>
        <v>1200</v>
      </c>
      <c r="H37" s="76">
        <f t="shared" si="19"/>
        <v>1250</v>
      </c>
      <c r="I37" s="76">
        <f t="shared" si="19"/>
        <v>1300</v>
      </c>
      <c r="J37" s="76">
        <f t="shared" si="19"/>
        <v>1350</v>
      </c>
      <c r="K37" s="76">
        <f t="shared" si="19"/>
        <v>1400</v>
      </c>
      <c r="L37" s="76">
        <f t="shared" si="19"/>
        <v>1450</v>
      </c>
      <c r="M37" s="76">
        <f t="shared" si="19"/>
        <v>1500</v>
      </c>
      <c r="O37" s="65"/>
    </row>
    <row r="38" ht="15.75" customHeight="1">
      <c r="A38" s="36"/>
      <c r="B38" s="39">
        <v>1.9</v>
      </c>
      <c r="C38" s="39">
        <v>2.0</v>
      </c>
      <c r="D38" s="39">
        <v>2.1</v>
      </c>
      <c r="E38" s="39">
        <v>2.2</v>
      </c>
      <c r="F38" s="39">
        <v>2.3</v>
      </c>
      <c r="G38" s="39">
        <v>2.4</v>
      </c>
      <c r="H38" s="39">
        <v>2.5</v>
      </c>
      <c r="I38" s="39">
        <v>2.6</v>
      </c>
      <c r="J38" s="39">
        <v>2.7</v>
      </c>
      <c r="K38" s="39">
        <v>2.8</v>
      </c>
      <c r="L38" s="39">
        <v>2.9</v>
      </c>
      <c r="M38" s="39">
        <v>3.0</v>
      </c>
      <c r="O38" s="36" t="s">
        <v>92</v>
      </c>
      <c r="P38" s="77">
        <v>0.1</v>
      </c>
      <c r="Q38" s="78" t="s">
        <v>93</v>
      </c>
      <c r="R38" s="50"/>
    </row>
    <row r="39" ht="15.75" customHeight="1">
      <c r="A39" s="45" t="s">
        <v>94</v>
      </c>
      <c r="B39" s="64">
        <f t="shared" ref="B39:M39" si="20">B38*$D$29</f>
        <v>95</v>
      </c>
      <c r="C39" s="64">
        <f t="shared" si="20"/>
        <v>100</v>
      </c>
      <c r="D39" s="64">
        <f t="shared" si="20"/>
        <v>105</v>
      </c>
      <c r="E39" s="64">
        <f t="shared" si="20"/>
        <v>110</v>
      </c>
      <c r="F39" s="64">
        <f t="shared" si="20"/>
        <v>115</v>
      </c>
      <c r="G39" s="64">
        <f t="shared" si="20"/>
        <v>120</v>
      </c>
      <c r="H39" s="64">
        <f t="shared" si="20"/>
        <v>125</v>
      </c>
      <c r="I39" s="64">
        <f t="shared" si="20"/>
        <v>130</v>
      </c>
      <c r="J39" s="64">
        <f t="shared" si="20"/>
        <v>135</v>
      </c>
      <c r="K39" s="64">
        <f t="shared" si="20"/>
        <v>140</v>
      </c>
      <c r="L39" s="64">
        <f t="shared" si="20"/>
        <v>145</v>
      </c>
      <c r="M39" s="64">
        <f t="shared" si="20"/>
        <v>150</v>
      </c>
      <c r="O39" s="36" t="s">
        <v>95</v>
      </c>
      <c r="P39" s="77">
        <v>0.15</v>
      </c>
      <c r="Q39" s="78" t="s">
        <v>96</v>
      </c>
      <c r="R39" s="50"/>
    </row>
    <row r="40" ht="15.75" customHeight="1">
      <c r="A40" s="64" t="s">
        <v>97</v>
      </c>
      <c r="B40" s="50">
        <f t="shared" ref="B40:M40" si="21">B39*$H$29</f>
        <v>76</v>
      </c>
      <c r="C40" s="50">
        <f t="shared" si="21"/>
        <v>80</v>
      </c>
      <c r="D40" s="50">
        <f t="shared" si="21"/>
        <v>84</v>
      </c>
      <c r="E40" s="50">
        <f t="shared" si="21"/>
        <v>88</v>
      </c>
      <c r="F40" s="50">
        <f t="shared" si="21"/>
        <v>92</v>
      </c>
      <c r="G40" s="50">
        <f t="shared" si="21"/>
        <v>96</v>
      </c>
      <c r="H40" s="50">
        <f t="shared" si="21"/>
        <v>100</v>
      </c>
      <c r="I40" s="50">
        <f t="shared" si="21"/>
        <v>104</v>
      </c>
      <c r="J40" s="50">
        <f t="shared" si="21"/>
        <v>108</v>
      </c>
      <c r="K40" s="50">
        <f t="shared" si="21"/>
        <v>112</v>
      </c>
      <c r="L40" s="50">
        <f t="shared" si="21"/>
        <v>116</v>
      </c>
      <c r="M40" s="50">
        <f t="shared" si="21"/>
        <v>120</v>
      </c>
      <c r="O40" s="59" t="s">
        <v>8</v>
      </c>
      <c r="P40" s="79">
        <v>0.2</v>
      </c>
      <c r="Q40" s="41" t="s">
        <v>98</v>
      </c>
    </row>
    <row r="41" ht="15.75" customHeight="1">
      <c r="A41" s="47" t="s">
        <v>99</v>
      </c>
      <c r="B41" s="59">
        <v>1.0</v>
      </c>
      <c r="C41" s="59">
        <v>1.0</v>
      </c>
      <c r="D41" s="59">
        <v>2.0</v>
      </c>
      <c r="E41" s="59">
        <v>2.0</v>
      </c>
      <c r="F41" s="59">
        <v>2.0</v>
      </c>
      <c r="G41" s="59">
        <v>3.0</v>
      </c>
      <c r="H41" s="59">
        <v>3.0</v>
      </c>
      <c r="I41" s="59">
        <v>3.0</v>
      </c>
      <c r="J41" s="59">
        <v>4.0</v>
      </c>
      <c r="K41" s="59">
        <v>4.0</v>
      </c>
      <c r="L41" s="59">
        <v>4.0</v>
      </c>
      <c r="M41" s="59">
        <v>5.0</v>
      </c>
      <c r="O41" s="59" t="s">
        <v>100</v>
      </c>
      <c r="Q41" s="41" t="s">
        <v>101</v>
      </c>
    </row>
    <row r="42" ht="15.75" customHeight="1">
      <c r="A42" s="47"/>
      <c r="B42" s="41"/>
      <c r="E42" s="41"/>
    </row>
    <row r="43" ht="15.75" customHeight="1">
      <c r="A43" s="47" t="s">
        <v>85</v>
      </c>
      <c r="B43" s="41" t="s">
        <v>102</v>
      </c>
      <c r="E43" s="41" t="s">
        <v>103</v>
      </c>
    </row>
    <row r="44" ht="15.75" customHeight="1">
      <c r="A44" s="65"/>
      <c r="B44" s="71"/>
      <c r="C44" s="71" t="s">
        <v>88</v>
      </c>
      <c r="D44" s="71"/>
      <c r="E44" s="72" t="s">
        <v>89</v>
      </c>
      <c r="I44" s="73"/>
      <c r="J44" s="73" t="s">
        <v>90</v>
      </c>
      <c r="K44" s="74"/>
      <c r="L44" s="75" t="s">
        <v>49</v>
      </c>
      <c r="O44" s="64" t="s">
        <v>104</v>
      </c>
      <c r="P44" s="50"/>
    </row>
    <row r="45" ht="15.75" customHeight="1">
      <c r="A45" s="45" t="s">
        <v>105</v>
      </c>
      <c r="B45" s="64">
        <v>65.0</v>
      </c>
      <c r="C45" s="64">
        <v>70.0</v>
      </c>
      <c r="D45" s="64">
        <v>75.0</v>
      </c>
      <c r="E45" s="64">
        <v>80.0</v>
      </c>
      <c r="F45" s="64">
        <v>85.0</v>
      </c>
      <c r="G45" s="64">
        <v>90.0</v>
      </c>
      <c r="H45" s="64">
        <v>95.0</v>
      </c>
      <c r="I45" s="64">
        <v>100.0</v>
      </c>
      <c r="J45" s="64">
        <v>105.0</v>
      </c>
      <c r="K45" s="64">
        <v>110.0</v>
      </c>
      <c r="L45" s="64">
        <v>115.0</v>
      </c>
      <c r="M45" s="64">
        <v>120.0</v>
      </c>
      <c r="O45" s="36" t="s">
        <v>92</v>
      </c>
      <c r="P45" s="77">
        <v>0.1</v>
      </c>
      <c r="Q45" s="41" t="s">
        <v>93</v>
      </c>
    </row>
    <row r="46" ht="15.75" customHeight="1">
      <c r="A46" s="47" t="s">
        <v>97</v>
      </c>
      <c r="B46" s="65">
        <f t="shared" ref="B46:M46" si="22">B45*$H$29</f>
        <v>52</v>
      </c>
      <c r="C46" s="65">
        <f t="shared" si="22"/>
        <v>56</v>
      </c>
      <c r="D46" s="65">
        <f t="shared" si="22"/>
        <v>60</v>
      </c>
      <c r="E46" s="65">
        <f t="shared" si="22"/>
        <v>64</v>
      </c>
      <c r="F46" s="65">
        <f t="shared" si="22"/>
        <v>68</v>
      </c>
      <c r="G46" s="65">
        <f t="shared" si="22"/>
        <v>72</v>
      </c>
      <c r="H46" s="65">
        <f t="shared" si="22"/>
        <v>76</v>
      </c>
      <c r="I46" s="65">
        <f t="shared" si="22"/>
        <v>80</v>
      </c>
      <c r="J46" s="65">
        <f t="shared" si="22"/>
        <v>84</v>
      </c>
      <c r="K46" s="65">
        <f t="shared" si="22"/>
        <v>88</v>
      </c>
      <c r="L46" s="65">
        <f t="shared" si="22"/>
        <v>92</v>
      </c>
      <c r="M46" s="65">
        <f t="shared" si="22"/>
        <v>96</v>
      </c>
      <c r="N46" s="50"/>
      <c r="O46" s="59" t="s">
        <v>95</v>
      </c>
      <c r="P46" s="79">
        <v>0.15</v>
      </c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45" t="s">
        <v>106</v>
      </c>
      <c r="B47" s="64">
        <v>30.0</v>
      </c>
      <c r="C47" s="64">
        <v>30.0</v>
      </c>
      <c r="D47" s="64">
        <v>30.0</v>
      </c>
      <c r="E47" s="64">
        <v>30.0</v>
      </c>
      <c r="F47" s="64">
        <v>30.0</v>
      </c>
      <c r="G47" s="64">
        <v>30.0</v>
      </c>
      <c r="H47" s="64">
        <v>30.0</v>
      </c>
      <c r="I47" s="64">
        <v>30.0</v>
      </c>
      <c r="J47" s="64">
        <v>30.0</v>
      </c>
      <c r="K47" s="64">
        <v>30.0</v>
      </c>
      <c r="L47" s="64">
        <v>30.0</v>
      </c>
      <c r="M47" s="64">
        <v>30.0</v>
      </c>
      <c r="N47" s="50"/>
      <c r="O47" s="59" t="s">
        <v>8</v>
      </c>
      <c r="P47" s="79">
        <v>0.2</v>
      </c>
      <c r="Q47" s="78" t="s">
        <v>107</v>
      </c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47" t="s">
        <v>97</v>
      </c>
      <c r="B48" s="65">
        <f t="shared" ref="B48:M48" si="23">B47*$H$29</f>
        <v>24</v>
      </c>
      <c r="C48" s="65">
        <f t="shared" si="23"/>
        <v>24</v>
      </c>
      <c r="D48" s="65">
        <f t="shared" si="23"/>
        <v>24</v>
      </c>
      <c r="E48" s="65">
        <f t="shared" si="23"/>
        <v>24</v>
      </c>
      <c r="F48" s="65">
        <f t="shared" si="23"/>
        <v>24</v>
      </c>
      <c r="G48" s="65">
        <f t="shared" si="23"/>
        <v>24</v>
      </c>
      <c r="H48" s="65">
        <f t="shared" si="23"/>
        <v>24</v>
      </c>
      <c r="I48" s="65">
        <f t="shared" si="23"/>
        <v>24</v>
      </c>
      <c r="J48" s="65">
        <f t="shared" si="23"/>
        <v>24</v>
      </c>
      <c r="K48" s="65">
        <f t="shared" si="23"/>
        <v>24</v>
      </c>
      <c r="L48" s="65">
        <f t="shared" si="23"/>
        <v>24</v>
      </c>
      <c r="M48" s="65">
        <f t="shared" si="23"/>
        <v>24</v>
      </c>
      <c r="N48" s="50"/>
      <c r="O48" s="59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hidden="1" customHeight="1">
      <c r="A49" s="39" t="s">
        <v>37</v>
      </c>
      <c r="B49" s="76">
        <f t="shared" ref="B49:M49" si="24">$D$20*B45+($D$20-1)*B47</f>
        <v>255</v>
      </c>
      <c r="C49" s="76">
        <f t="shared" si="24"/>
        <v>270</v>
      </c>
      <c r="D49" s="76">
        <f t="shared" si="24"/>
        <v>285</v>
      </c>
      <c r="E49" s="76">
        <f t="shared" si="24"/>
        <v>300</v>
      </c>
      <c r="F49" s="76">
        <f t="shared" si="24"/>
        <v>315</v>
      </c>
      <c r="G49" s="76">
        <f t="shared" si="24"/>
        <v>330</v>
      </c>
      <c r="H49" s="76">
        <f t="shared" si="24"/>
        <v>345</v>
      </c>
      <c r="I49" s="76">
        <f t="shared" si="24"/>
        <v>360</v>
      </c>
      <c r="J49" s="76">
        <f t="shared" si="24"/>
        <v>375</v>
      </c>
      <c r="K49" s="76">
        <f t="shared" si="24"/>
        <v>390</v>
      </c>
      <c r="L49" s="76">
        <f t="shared" si="24"/>
        <v>405</v>
      </c>
      <c r="M49" s="76">
        <f t="shared" si="24"/>
        <v>420</v>
      </c>
      <c r="O49" s="65"/>
      <c r="P49" s="65"/>
    </row>
    <row r="50" ht="15.75" hidden="1" customHeight="1">
      <c r="A50" s="39" t="s">
        <v>40</v>
      </c>
      <c r="B50" s="76">
        <f t="shared" ref="B50:M50" si="25">$D$21*B45+($D$21-1)*B47</f>
        <v>350</v>
      </c>
      <c r="C50" s="76">
        <f t="shared" si="25"/>
        <v>370</v>
      </c>
      <c r="D50" s="76">
        <f t="shared" si="25"/>
        <v>390</v>
      </c>
      <c r="E50" s="76">
        <f t="shared" si="25"/>
        <v>410</v>
      </c>
      <c r="F50" s="76">
        <f t="shared" si="25"/>
        <v>430</v>
      </c>
      <c r="G50" s="76">
        <f t="shared" si="25"/>
        <v>450</v>
      </c>
      <c r="H50" s="76">
        <f t="shared" si="25"/>
        <v>470</v>
      </c>
      <c r="I50" s="76">
        <f t="shared" si="25"/>
        <v>490</v>
      </c>
      <c r="J50" s="76">
        <f t="shared" si="25"/>
        <v>510</v>
      </c>
      <c r="K50" s="76">
        <f t="shared" si="25"/>
        <v>530</v>
      </c>
      <c r="L50" s="76">
        <f t="shared" si="25"/>
        <v>550</v>
      </c>
      <c r="M50" s="76">
        <f t="shared" si="25"/>
        <v>570</v>
      </c>
      <c r="O50" s="65"/>
      <c r="P50" s="65"/>
    </row>
    <row r="51" ht="15.75" hidden="1" customHeight="1">
      <c r="A51" s="39" t="s">
        <v>43</v>
      </c>
      <c r="B51" s="76">
        <f t="shared" ref="B51:M51" si="26">$D$22*B45+($D$22-1)*B47</f>
        <v>445</v>
      </c>
      <c r="C51" s="76">
        <f t="shared" si="26"/>
        <v>470</v>
      </c>
      <c r="D51" s="76">
        <f t="shared" si="26"/>
        <v>495</v>
      </c>
      <c r="E51" s="76">
        <f t="shared" si="26"/>
        <v>520</v>
      </c>
      <c r="F51" s="76">
        <f t="shared" si="26"/>
        <v>545</v>
      </c>
      <c r="G51" s="76">
        <f t="shared" si="26"/>
        <v>570</v>
      </c>
      <c r="H51" s="76">
        <f t="shared" si="26"/>
        <v>595</v>
      </c>
      <c r="I51" s="76">
        <f t="shared" si="26"/>
        <v>620</v>
      </c>
      <c r="J51" s="76">
        <f t="shared" si="26"/>
        <v>645</v>
      </c>
      <c r="K51" s="76">
        <f t="shared" si="26"/>
        <v>670</v>
      </c>
      <c r="L51" s="76">
        <f t="shared" si="26"/>
        <v>695</v>
      </c>
      <c r="M51" s="76">
        <f t="shared" si="26"/>
        <v>720</v>
      </c>
      <c r="O51" s="65"/>
      <c r="P51" s="65"/>
    </row>
    <row r="52" ht="15.75" hidden="1" customHeight="1">
      <c r="A52" s="39" t="s">
        <v>46</v>
      </c>
      <c r="B52" s="76">
        <f t="shared" ref="B52:M52" si="27">$D$23*B45+($D$23-1)*B47</f>
        <v>540</v>
      </c>
      <c r="C52" s="76">
        <f t="shared" si="27"/>
        <v>570</v>
      </c>
      <c r="D52" s="76">
        <f t="shared" si="27"/>
        <v>600</v>
      </c>
      <c r="E52" s="76">
        <f t="shared" si="27"/>
        <v>630</v>
      </c>
      <c r="F52" s="76">
        <f t="shared" si="27"/>
        <v>660</v>
      </c>
      <c r="G52" s="76">
        <f t="shared" si="27"/>
        <v>690</v>
      </c>
      <c r="H52" s="76">
        <f t="shared" si="27"/>
        <v>720</v>
      </c>
      <c r="I52" s="76">
        <f t="shared" si="27"/>
        <v>750</v>
      </c>
      <c r="J52" s="76">
        <f t="shared" si="27"/>
        <v>780</v>
      </c>
      <c r="K52" s="76">
        <f t="shared" si="27"/>
        <v>810</v>
      </c>
      <c r="L52" s="76">
        <f t="shared" si="27"/>
        <v>840</v>
      </c>
      <c r="M52" s="76">
        <f t="shared" si="27"/>
        <v>870</v>
      </c>
      <c r="O52" s="65"/>
      <c r="P52" s="65"/>
    </row>
    <row r="53" ht="15.75" hidden="1" customHeight="1">
      <c r="A53" s="39" t="s">
        <v>49</v>
      </c>
      <c r="B53" s="76">
        <f t="shared" ref="B53:M53" si="28">$D$24*B45+($D$24-1)*B47</f>
        <v>730</v>
      </c>
      <c r="C53" s="76">
        <f t="shared" si="28"/>
        <v>770</v>
      </c>
      <c r="D53" s="76">
        <f t="shared" si="28"/>
        <v>810</v>
      </c>
      <c r="E53" s="76">
        <f t="shared" si="28"/>
        <v>850</v>
      </c>
      <c r="F53" s="76">
        <f t="shared" si="28"/>
        <v>890</v>
      </c>
      <c r="G53" s="76">
        <f t="shared" si="28"/>
        <v>930</v>
      </c>
      <c r="H53" s="76">
        <f t="shared" si="28"/>
        <v>970</v>
      </c>
      <c r="I53" s="76">
        <f t="shared" si="28"/>
        <v>1010</v>
      </c>
      <c r="J53" s="76">
        <f t="shared" si="28"/>
        <v>1050</v>
      </c>
      <c r="K53" s="76">
        <f t="shared" si="28"/>
        <v>1090</v>
      </c>
      <c r="L53" s="76">
        <f t="shared" si="28"/>
        <v>1130</v>
      </c>
      <c r="M53" s="76">
        <f t="shared" si="28"/>
        <v>1170</v>
      </c>
      <c r="O53" s="65"/>
      <c r="P53" s="65"/>
    </row>
    <row r="54" ht="15.75" hidden="1" customHeight="1">
      <c r="A54" s="45"/>
      <c r="B54" s="76">
        <f t="shared" ref="B54:M54" si="29">$D$25*B45+($D$25-1)*B47</f>
        <v>825</v>
      </c>
      <c r="C54" s="76">
        <f t="shared" si="29"/>
        <v>870</v>
      </c>
      <c r="D54" s="76">
        <f t="shared" si="29"/>
        <v>915</v>
      </c>
      <c r="E54" s="76">
        <f t="shared" si="29"/>
        <v>960</v>
      </c>
      <c r="F54" s="76">
        <f t="shared" si="29"/>
        <v>1005</v>
      </c>
      <c r="G54" s="76">
        <f t="shared" si="29"/>
        <v>1050</v>
      </c>
      <c r="H54" s="76">
        <f t="shared" si="29"/>
        <v>1095</v>
      </c>
      <c r="I54" s="76">
        <f t="shared" si="29"/>
        <v>1140</v>
      </c>
      <c r="J54" s="76">
        <f t="shared" si="29"/>
        <v>1185</v>
      </c>
      <c r="K54" s="76">
        <f t="shared" si="29"/>
        <v>1230</v>
      </c>
      <c r="L54" s="76">
        <f t="shared" si="29"/>
        <v>1275</v>
      </c>
      <c r="M54" s="76">
        <f t="shared" si="29"/>
        <v>1320</v>
      </c>
      <c r="O54" s="36"/>
      <c r="P54" s="77"/>
    </row>
    <row r="55" ht="15.75" hidden="1" customHeight="1">
      <c r="A55" s="45"/>
      <c r="B55" s="76">
        <f t="shared" ref="B55:M55" si="30">$D$26*B45+($D$26-1)*B47</f>
        <v>920</v>
      </c>
      <c r="C55" s="76">
        <f t="shared" si="30"/>
        <v>970</v>
      </c>
      <c r="D55" s="76">
        <f t="shared" si="30"/>
        <v>1020</v>
      </c>
      <c r="E55" s="76">
        <f t="shared" si="30"/>
        <v>1070</v>
      </c>
      <c r="F55" s="76">
        <f t="shared" si="30"/>
        <v>1120</v>
      </c>
      <c r="G55" s="76">
        <f t="shared" si="30"/>
        <v>1170</v>
      </c>
      <c r="H55" s="76">
        <f t="shared" si="30"/>
        <v>1220</v>
      </c>
      <c r="I55" s="76">
        <f t="shared" si="30"/>
        <v>1270</v>
      </c>
      <c r="J55" s="76">
        <f t="shared" si="30"/>
        <v>1320</v>
      </c>
      <c r="K55" s="76">
        <f t="shared" si="30"/>
        <v>1370</v>
      </c>
      <c r="L55" s="76">
        <f t="shared" si="30"/>
        <v>1420</v>
      </c>
      <c r="M55" s="76">
        <f t="shared" si="30"/>
        <v>1470</v>
      </c>
      <c r="O55" s="59"/>
      <c r="P55" s="79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9"/>
      <c r="B56" s="41"/>
      <c r="D56" s="41"/>
      <c r="N56" s="50"/>
      <c r="O56" s="59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47" t="s">
        <v>108</v>
      </c>
      <c r="B57" s="71"/>
      <c r="C57" s="71" t="s">
        <v>88</v>
      </c>
      <c r="D57" s="71"/>
      <c r="E57" s="72" t="s">
        <v>89</v>
      </c>
      <c r="I57" s="73"/>
      <c r="J57" s="73" t="s">
        <v>90</v>
      </c>
      <c r="K57" s="74"/>
      <c r="L57" s="75" t="s">
        <v>49</v>
      </c>
      <c r="N57" s="50"/>
      <c r="O57" s="50"/>
      <c r="T57" s="50"/>
      <c r="U57" s="50"/>
      <c r="V57" s="50"/>
      <c r="W57" s="50"/>
      <c r="X57" s="50"/>
      <c r="Y57" s="50"/>
      <c r="Z57" s="50"/>
    </row>
    <row r="58" ht="15.75" hidden="1" customHeight="1">
      <c r="A58" s="36"/>
      <c r="B58" s="39">
        <f t="shared" ref="B58:M58" si="31">B38</f>
        <v>1.9</v>
      </c>
      <c r="C58" s="39">
        <f t="shared" si="31"/>
        <v>2</v>
      </c>
      <c r="D58" s="39">
        <f t="shared" si="31"/>
        <v>2.1</v>
      </c>
      <c r="E58" s="39">
        <f t="shared" si="31"/>
        <v>2.2</v>
      </c>
      <c r="F58" s="39">
        <f t="shared" si="31"/>
        <v>2.3</v>
      </c>
      <c r="G58" s="39">
        <f t="shared" si="31"/>
        <v>2.4</v>
      </c>
      <c r="H58" s="39">
        <f t="shared" si="31"/>
        <v>2.5</v>
      </c>
      <c r="I58" s="39">
        <f t="shared" si="31"/>
        <v>2.6</v>
      </c>
      <c r="J58" s="39">
        <f t="shared" si="31"/>
        <v>2.7</v>
      </c>
      <c r="K58" s="39">
        <f t="shared" si="31"/>
        <v>2.8</v>
      </c>
      <c r="L58" s="39">
        <f t="shared" si="31"/>
        <v>2.9</v>
      </c>
      <c r="M58" s="39">
        <f t="shared" si="31"/>
        <v>3</v>
      </c>
      <c r="N58" s="50"/>
      <c r="O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45" t="s">
        <v>94</v>
      </c>
      <c r="B59" s="64">
        <f t="shared" ref="B59:M59" si="32">B58*$D$29</f>
        <v>95</v>
      </c>
      <c r="C59" s="64">
        <f t="shared" si="32"/>
        <v>100</v>
      </c>
      <c r="D59" s="64">
        <f t="shared" si="32"/>
        <v>105</v>
      </c>
      <c r="E59" s="64">
        <f t="shared" si="32"/>
        <v>110</v>
      </c>
      <c r="F59" s="64">
        <f t="shared" si="32"/>
        <v>115</v>
      </c>
      <c r="G59" s="64">
        <f t="shared" si="32"/>
        <v>120</v>
      </c>
      <c r="H59" s="64">
        <f t="shared" si="32"/>
        <v>125</v>
      </c>
      <c r="I59" s="64">
        <f t="shared" si="32"/>
        <v>130</v>
      </c>
      <c r="J59" s="64">
        <f t="shared" si="32"/>
        <v>135</v>
      </c>
      <c r="K59" s="64">
        <f t="shared" si="32"/>
        <v>140</v>
      </c>
      <c r="L59" s="64">
        <f t="shared" si="32"/>
        <v>145</v>
      </c>
      <c r="M59" s="64">
        <f t="shared" si="32"/>
        <v>150</v>
      </c>
      <c r="N59" s="50"/>
      <c r="O59" s="50"/>
      <c r="P59" s="80" t="s">
        <v>109</v>
      </c>
      <c r="Q59" s="80" t="s">
        <v>110</v>
      </c>
      <c r="R59" s="80" t="s">
        <v>99</v>
      </c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9" t="s">
        <v>111</v>
      </c>
      <c r="B60" s="59">
        <v>20.0</v>
      </c>
      <c r="C60" s="59">
        <v>20.0</v>
      </c>
      <c r="D60" s="59">
        <v>25.0</v>
      </c>
      <c r="E60" s="59">
        <v>25.0</v>
      </c>
      <c r="F60" s="59">
        <v>30.0</v>
      </c>
      <c r="G60" s="59">
        <v>30.0</v>
      </c>
      <c r="H60" s="59">
        <v>35.0</v>
      </c>
      <c r="I60" s="59">
        <v>35.0</v>
      </c>
      <c r="J60" s="59">
        <v>40.0</v>
      </c>
      <c r="K60" s="59">
        <v>40.0</v>
      </c>
      <c r="L60" s="59">
        <v>50.0</v>
      </c>
      <c r="M60" s="59">
        <v>60.0</v>
      </c>
      <c r="N60" s="36" t="s">
        <v>112</v>
      </c>
      <c r="O60" s="50"/>
      <c r="P60" s="81"/>
      <c r="Q60" s="81"/>
      <c r="R60" s="81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9" t="s">
        <v>113</v>
      </c>
      <c r="B61" s="59">
        <v>15.0</v>
      </c>
      <c r="C61" s="59">
        <v>15.0</v>
      </c>
      <c r="D61" s="59">
        <v>20.0</v>
      </c>
      <c r="E61" s="59">
        <v>20.0</v>
      </c>
      <c r="F61" s="59">
        <v>25.0</v>
      </c>
      <c r="G61" s="59">
        <v>25.0</v>
      </c>
      <c r="H61" s="59">
        <v>30.0</v>
      </c>
      <c r="I61" s="59">
        <v>30.0</v>
      </c>
      <c r="J61" s="59">
        <v>35.0</v>
      </c>
      <c r="K61" s="59">
        <v>35.0</v>
      </c>
      <c r="L61" s="59">
        <v>40.0</v>
      </c>
      <c r="M61" s="59">
        <v>50.0</v>
      </c>
      <c r="N61" s="59" t="s">
        <v>114</v>
      </c>
      <c r="O61" s="50"/>
      <c r="P61" s="82" t="s">
        <v>115</v>
      </c>
      <c r="Q61" s="83">
        <v>20.0</v>
      </c>
      <c r="R61" s="83">
        <v>2.0</v>
      </c>
      <c r="S61" s="50"/>
      <c r="T61" s="50"/>
      <c r="U61" s="50"/>
      <c r="V61" s="50"/>
      <c r="W61" s="50"/>
      <c r="X61" s="50"/>
      <c r="Y61" s="50"/>
      <c r="Z61" s="50"/>
    </row>
    <row r="62" ht="15.75" customHeight="1">
      <c r="O62" s="50"/>
      <c r="P62" s="82" t="s">
        <v>116</v>
      </c>
      <c r="Q62" s="83">
        <v>15.0</v>
      </c>
      <c r="R62" s="83">
        <v>2.0</v>
      </c>
      <c r="S62" s="50"/>
      <c r="T62" s="50"/>
      <c r="U62" s="50"/>
      <c r="V62" s="50"/>
      <c r="W62" s="50"/>
      <c r="X62" s="50"/>
      <c r="Y62" s="50"/>
      <c r="Z62" s="50"/>
    </row>
    <row r="63">
      <c r="P63" s="82" t="s">
        <v>117</v>
      </c>
      <c r="Q63" s="84" t="s">
        <v>118</v>
      </c>
      <c r="R63" s="83">
        <v>2.0</v>
      </c>
    </row>
    <row r="64" ht="15.75" customHeight="1">
      <c r="A64" s="85" t="s">
        <v>119</v>
      </c>
      <c r="B64" s="85" t="s">
        <v>120</v>
      </c>
      <c r="N64" s="50"/>
      <c r="O64" s="50"/>
      <c r="P64" s="82" t="s">
        <v>121</v>
      </c>
      <c r="Q64" s="83" t="s">
        <v>122</v>
      </c>
      <c r="R64" s="83">
        <v>2.0</v>
      </c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86" t="s">
        <v>92</v>
      </c>
      <c r="B65" s="86">
        <v>5.0</v>
      </c>
      <c r="C65" s="41" t="s">
        <v>123</v>
      </c>
      <c r="N65" s="50"/>
      <c r="O65" s="50"/>
      <c r="P65" s="87" t="s">
        <v>124</v>
      </c>
      <c r="Q65" s="83" t="s">
        <v>118</v>
      </c>
      <c r="R65" s="86">
        <v>2.0</v>
      </c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86" t="s">
        <v>95</v>
      </c>
      <c r="B66" s="86">
        <v>10.0</v>
      </c>
      <c r="C66" s="41" t="s">
        <v>125</v>
      </c>
      <c r="N66" s="50"/>
      <c r="O66" s="50"/>
      <c r="P66" s="82" t="s">
        <v>126</v>
      </c>
      <c r="Q66" s="83">
        <v>20.0</v>
      </c>
      <c r="R66" s="83">
        <v>3.0</v>
      </c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83" t="s">
        <v>8</v>
      </c>
      <c r="B67" s="83">
        <v>15.0</v>
      </c>
      <c r="C67" s="78" t="s">
        <v>127</v>
      </c>
      <c r="D67" s="50"/>
      <c r="E67" s="50"/>
      <c r="F67" s="50"/>
      <c r="G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70" ht="15.75" customHeight="1">
      <c r="A70" s="64" t="s">
        <v>128</v>
      </c>
      <c r="B70" s="78" t="s">
        <v>129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B71" s="78" t="s">
        <v>130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78" t="s">
        <v>131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78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80" t="s">
        <v>132</v>
      </c>
      <c r="B74" s="88" t="s">
        <v>133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83" t="s">
        <v>134</v>
      </c>
      <c r="B75" s="89">
        <v>46054.0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83" t="s">
        <v>95</v>
      </c>
      <c r="B76" s="89">
        <v>46145.0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83" t="s">
        <v>135</v>
      </c>
      <c r="B77" s="83" t="s">
        <v>136</v>
      </c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40" t="s">
        <v>137</v>
      </c>
      <c r="B79" s="40" t="s">
        <v>138</v>
      </c>
      <c r="E79" s="36" t="s">
        <v>139</v>
      </c>
      <c r="F79" s="36" t="s">
        <v>138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90" t="s">
        <v>140</v>
      </c>
      <c r="B80" s="59">
        <v>10.0</v>
      </c>
      <c r="C80" s="41">
        <v>20.0</v>
      </c>
      <c r="E80" s="36" t="s">
        <v>37</v>
      </c>
      <c r="F80" s="36">
        <v>10.0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90" t="s">
        <v>141</v>
      </c>
      <c r="B81" s="59">
        <v>20.0</v>
      </c>
      <c r="C81" s="41">
        <v>30.0</v>
      </c>
      <c r="E81" s="36" t="s">
        <v>40</v>
      </c>
      <c r="F81" s="36">
        <v>15.0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90" t="s">
        <v>142</v>
      </c>
      <c r="B82" s="59">
        <v>15.0</v>
      </c>
      <c r="C82" s="41">
        <v>25.0</v>
      </c>
      <c r="E82" s="36" t="s">
        <v>43</v>
      </c>
      <c r="F82" s="36">
        <v>20.0</v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78" t="s">
        <v>143</v>
      </c>
      <c r="B83" s="36">
        <v>35.0</v>
      </c>
      <c r="C83" s="50"/>
      <c r="D83" s="50"/>
      <c r="E83" s="36" t="s">
        <v>46</v>
      </c>
      <c r="F83" s="36">
        <v>25.0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78" t="s">
        <v>144</v>
      </c>
      <c r="B84" s="36">
        <v>20.0</v>
      </c>
      <c r="C84" s="50"/>
      <c r="D84" s="50"/>
      <c r="E84" s="36" t="s">
        <v>49</v>
      </c>
      <c r="F84" s="36">
        <v>30.0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36" t="s">
        <v>88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78" t="s">
        <v>145</v>
      </c>
      <c r="B86" s="59">
        <v>5.0</v>
      </c>
      <c r="C86" s="36">
        <v>15.0</v>
      </c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78" t="s">
        <v>146</v>
      </c>
      <c r="B87" s="59">
        <v>20.0</v>
      </c>
      <c r="C87" s="36">
        <v>35.0</v>
      </c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78" t="s">
        <v>147</v>
      </c>
      <c r="B88" s="59">
        <v>25.0</v>
      </c>
      <c r="C88" s="36">
        <v>40.0</v>
      </c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78" t="s">
        <v>148</v>
      </c>
      <c r="B89" s="36">
        <v>15.0</v>
      </c>
      <c r="C89" s="36">
        <v>35.0</v>
      </c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78" t="s">
        <v>149</v>
      </c>
      <c r="B90" s="36">
        <v>15.0</v>
      </c>
      <c r="C90" s="36">
        <v>35.0</v>
      </c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36" t="s">
        <v>43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78" t="s">
        <v>150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78" t="s">
        <v>151</v>
      </c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9" t="s">
        <v>152</v>
      </c>
      <c r="B94" s="59">
        <v>20.0</v>
      </c>
      <c r="C94" s="36">
        <v>35.0</v>
      </c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36" t="s">
        <v>153</v>
      </c>
      <c r="B95" s="59">
        <v>15.0</v>
      </c>
      <c r="C95" s="36">
        <v>30.0</v>
      </c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36" t="s">
        <v>154</v>
      </c>
      <c r="B96" s="59">
        <v>25.0</v>
      </c>
      <c r="C96" s="36">
        <v>40.0</v>
      </c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B98" s="50"/>
      <c r="C98" s="91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36" t="s">
        <v>155</v>
      </c>
      <c r="B99" s="50"/>
      <c r="C99" s="91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36" t="s">
        <v>156</v>
      </c>
      <c r="B100" s="36">
        <v>35.0</v>
      </c>
      <c r="C100" s="91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36" t="s">
        <v>157</v>
      </c>
      <c r="B101" s="36">
        <v>45.0</v>
      </c>
      <c r="C101" s="91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36" t="s">
        <v>158</v>
      </c>
      <c r="B102" s="36">
        <v>45.0</v>
      </c>
      <c r="C102" s="91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 ht="15.75" customHeight="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 ht="15.75" customHeight="1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 ht="15.75" customHeight="1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 ht="15.75" customHeight="1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</sheetData>
  <mergeCells count="7">
    <mergeCell ref="T1:U1"/>
    <mergeCell ref="E30:H30"/>
    <mergeCell ref="L30:M30"/>
    <mergeCell ref="E44:H44"/>
    <mergeCell ref="L44:M44"/>
    <mergeCell ref="E57:H57"/>
    <mergeCell ref="L57:M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2026-01-09T19:06:43Z</dcterms:created>
  <dc:creator>Sergio Martín</dc:creator>
</cp:coreProperties>
</file>