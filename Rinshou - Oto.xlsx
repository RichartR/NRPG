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COMANDOS BÁSICOS" sheetId="1" state="visible" r:id="rId3"/>
    <sheet name="TECNICAS GENERALES" sheetId="2" state="visible" r:id="rId4"/>
    <sheet name="SHOUTON" sheetId="3" state="visible" r:id="rId5"/>
    <sheet name="Esp SHOUTON" sheetId="4" state="visible" r:id="rId6"/>
    <sheet name="Shouton LIM" sheetId="5" state="visible" r:id="rId7"/>
    <sheet name="N.E SUITON" sheetId="6" state="visible" r:id="rId8"/>
    <sheet name="N.E DOTON" sheetId="7" state="visible" r:id="rId9"/>
    <sheet name="N.E RAITON" sheetId="8" state="visible" r:id="rId10"/>
    <sheet name="IRYOU NIN" sheetId="9" state="visible" r:id="rId11"/>
    <sheet name="N.E KATON" sheetId="10" state="visible" r:id="rId12"/>
    <sheet name="N.E FUUTON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<sst xmlns="http://schemas.openxmlformats.org/spreadsheetml/2006/main" count="778" uniqueCount="326">
  <si>
    <t xml:space="preserve">NOMBRE</t>
  </si>
  <si>
    <t xml:space="preserve">VALOR 1</t>
  </si>
  <si>
    <t xml:space="preserve">VALOR 2</t>
  </si>
  <si>
    <t xml:space="preserve">VALOR 3</t>
  </si>
  <si>
    <t xml:space="preserve">TIPO</t>
  </si>
  <si>
    <t xml:space="preserve">ALCANCE</t>
  </si>
  <si>
    <t xml:space="preserve">COSTE CH</t>
  </si>
  <si>
    <t xml:space="preserve">RANGO</t>
  </si>
  <si>
    <t xml:space="preserve">SELLOS</t>
  </si>
  <si>
    <t xml:space="preserve">Nombre + roleo</t>
  </si>
  <si>
    <t xml:space="preserve">Efectos</t>
  </si>
  <si>
    <t xml:space="preserve">*Lanzar Kunai</t>
  </si>
  <si>
    <t xml:space="preserve">Ofensivo</t>
  </si>
  <si>
    <t xml:space="preserve">Alcance 4</t>
  </si>
  <si>
    <t xml:space="preserve">0 CH</t>
  </si>
  <si>
    <t xml:space="preserve">D</t>
  </si>
  <si>
    <t xml:space="preserve">No</t>
  </si>
  <si>
    <t xml:space="preserve">*Lanzar Kunai + Kibakufuuda</t>
  </si>
  <si>
    <t xml:space="preserve">*Atacar con arma</t>
  </si>
  <si>
    <t xml:space="preserve">Alcance 1</t>
  </si>
  <si>
    <t xml:space="preserve">*Atacar con [Arma] [0CH] </t>
  </si>
  <si>
    <t xml:space="preserve">/ OF / A4 / -228</t>
  </si>
  <si>
    <t xml:space="preserve">*Bloquear</t>
  </si>
  <si>
    <t xml:space="preserve">Defensivo</t>
  </si>
  <si>
    <t xml:space="preserve">Propio</t>
  </si>
  <si>
    <t xml:space="preserve">*Bloquear [0CH] </t>
  </si>
  <si>
    <t xml:space="preserve">/ OF / Propio / Reduce 160 daño</t>
  </si>
  <si>
    <t xml:space="preserve">*Bloquear con arma</t>
  </si>
  <si>
    <t xml:space="preserve">*Atacar</t>
  </si>
  <si>
    <t xml:space="preserve">*Atacar [0CH] </t>
  </si>
  <si>
    <t xml:space="preserve">/ OF / A4 / -160</t>
  </si>
  <si>
    <t xml:space="preserve">*Evadir</t>
  </si>
  <si>
    <t xml:space="preserve">Defensivo - Evasión</t>
  </si>
  <si>
    <t xml:space="preserve">30 CH</t>
  </si>
  <si>
    <t xml:space="preserve">*Evadir [20CH] *Me muevo con un movimiento ágil</t>
  </si>
  <si>
    <t xml:space="preserve">*Equipar/Desequipar Arma</t>
  </si>
  <si>
    <t xml:space="preserve">Suplementario</t>
  </si>
  <si>
    <t xml:space="preserve">*Huir</t>
  </si>
  <si>
    <t xml:space="preserve">*Huir [0CH] / SUP *Empiezo a correr hasta huir del combate
</t>
  </si>
  <si>
    <t xml:space="preserve">*Cerrar ojos</t>
  </si>
  <si>
    <t xml:space="preserve">*Cerrar ojos [0 CH]</t>
  </si>
  <si>
    <t xml:space="preserve">*Tapar oídos con las manos</t>
  </si>
  <si>
    <t xml:space="preserve">*Tapar oídos con las manos [0CH]</t>
  </si>
  <si>
    <t xml:space="preserve">*Aguantar la respiración</t>
  </si>
  <si>
    <t xml:space="preserve">*Aguantar la respiración [0CH]</t>
  </si>
  <si>
    <t xml:space="preserve">*Liberar</t>
  </si>
  <si>
    <t xml:space="preserve">*Despertar</t>
  </si>
  <si>
    <t xml:space="preserve">*Resistir</t>
  </si>
  <si>
    <t xml:space="preserve">Variable</t>
  </si>
  <si>
    <t xml:space="preserve">*Saltar</t>
  </si>
  <si>
    <t xml:space="preserve">*Levantarse</t>
  </si>
  <si>
    <t xml:space="preserve">*Interponerse</t>
  </si>
  <si>
    <t xml:space="preserve">*Irrumpir</t>
  </si>
  <si>
    <t xml:space="preserve">*Llamada de Auxilio</t>
  </si>
  <si>
    <t xml:space="preserve">*Compartir Detección</t>
  </si>
  <si>
    <t xml:space="preserve">Suplementario/Defensivo</t>
  </si>
  <si>
    <t xml:space="preserve">A6 sobre el usuario</t>
  </si>
  <si>
    <t xml:space="preserve">*Autolesión</t>
  </si>
  <si>
    <t xml:space="preserve">Defensivo/Suplementario</t>
  </si>
  <si>
    <t xml:space="preserve">*Kawarimi no Jutsu</t>
  </si>
  <si>
    <t xml:space="preserve">Suplementario/Evasivo</t>
  </si>
  <si>
    <t xml:space="preserve">40 CH</t>
  </si>
  <si>
    <t xml:space="preserve">E</t>
  </si>
  <si>
    <t xml:space="preserve">*Kawarimi no Jutsu [40CH] *Me remplazo por un tronco apareciendo algo más lejos</t>
  </si>
  <si>
    <t xml:space="preserve">/ Evado 2 casillas sin consumo de velocidad / +1REF-PER / 1 uso por ronda</t>
  </si>
  <si>
    <t xml:space="preserve">*Shunshin no Jutsu</t>
  </si>
  <si>
    <t xml:space="preserve">*Shunshin no Jutsu [CH] *Me muevo rápidamente desplazándome por el campo de batalla</t>
  </si>
  <si>
    <t xml:space="preserve">/ Evado 2 casillas sin consumo de velocidad /2R
/ Evado 1 casilla sin consumo de velocidad / 2R
/ +3 casillas de desplazamiento / +1REF a la siguiente acción de contacto / 3R</t>
  </si>
  <si>
    <t xml:space="preserve">*Kinobori no Waza</t>
  </si>
  <si>
    <t xml:space="preserve">1 CH</t>
  </si>
  <si>
    <t xml:space="preserve">*Kinobori no Waza [1 CH] *Mis pies se envuelven en chakra permitiéndome moverme por zonas poco comunes</t>
  </si>
  <si>
    <t xml:space="preserve">/ Obtengo posición elevada / No consume acción</t>
  </si>
  <si>
    <t xml:space="preserve">*Suimen Hokou no Waza</t>
  </si>
  <si>
    <t xml:space="preserve">*Suimen Hokou no Waza [1 CH] *Mis pies se envuelven en chakra permitiéndome moverme por zonas poco comunes</t>
  </si>
  <si>
    <t xml:space="preserve">/ No consume acción</t>
  </si>
  <si>
    <t xml:space="preserve">*Genjutsu Kai</t>
  </si>
  <si>
    <t xml:space="preserve">Defensivo
Suplementario
Anulación</t>
  </si>
  <si>
    <t xml:space="preserve">10 CH</t>
  </si>
  <si>
    <t xml:space="preserve">Sí</t>
  </si>
  <si>
    <t xml:space="preserve">*Genjtusu Kai [X CH] *Concentro chakra tratando de cancelar el Genjutsu</t>
  </si>
  <si>
    <t xml:space="preserve">DAÑO</t>
  </si>
  <si>
    <t xml:space="preserve">DAÑO xA</t>
  </si>
  <si>
    <t xml:space="preserve">ADICIONAL</t>
  </si>
  <si>
    <t xml:space="preserve">CATEGORIA</t>
  </si>
  <si>
    <t xml:space="preserve">Shouton, Suishou To</t>
  </si>
  <si>
    <t xml:space="preserve">Ofensivo, Defensivo</t>
  </si>
  <si>
    <t xml:space="preserve">Ninjutsu</t>
  </si>
  <si>
    <t xml:space="preserve">Área 1</t>
  </si>
  <si>
    <t xml:space="preserve">*Shouton, Suishou To [1CH]*Formo una espada de cristal en mi brazo y le hago un corte.
*Shouton, Suishou To[1CH]*Formo una espada de cristal en mi brazo y paro el golpe.
</t>
  </si>
  <si>
    <t xml:space="preserve">/ D / 1AL / -405 y hemorragia del 10% del daño durante 2 acc.
/ D / Defiendo 405
</t>
  </si>
  <si>
    <t xml:space="preserve">Keshou no Yoroi</t>
  </si>
  <si>
    <t xml:space="preserve">Defensivo / Suplementario</t>
  </si>
  <si>
    <t xml:space="preserve">C</t>
  </si>
  <si>
    <t xml:space="preserve">*Keshou no Yoroi *Formo alrededor de mi cuerpo una armadura de cristal morado</t>
  </si>
  <si>
    <t xml:space="preserve">25CH / B / Defensa interna / +1REF / -585  /Cubre todos los ángulos //  675 /35CH / B / Defensa interna / +1REF / Cubre todos los ángulos
25CH / B / Defensa interna / +2REF/ -585 / Cubre todos los ángulos / Una vez por combate.
35CH/B/ Sup / Def interna degradable /Reduce en 1 tecs tangibles/ 630 / -1VEL / Cubre todos los ángulos
Se puede utilizar en ronda de preparación.
</t>
  </si>
  <si>
    <t xml:space="preserve">Shouton, Sishou no Wa</t>
  </si>
  <si>
    <t xml:space="preserve">Suplementario / Defensivo</t>
  </si>
  <si>
    <t xml:space="preserve">Variabe</t>
  </si>
  <si>
    <t xml:space="preserve">*Shouton, Suishou no Wa *Formo una rueda de cristal a mi alrededor y me desplazo rapidamente</t>
  </si>
  <si>
    <t xml:space="preserve">15CH / C / Supl / +4 casillas / +1REF a la siguiente acc de contacto / No consume accion /CD 3R
10CH / C / +3 casillas para evadir / +1REF/ CD3R / Una vez por combate.
Requiere terreno mojado.
</t>
  </si>
  <si>
    <t xml:space="preserve">Shouton, Kesshou Shuriken</t>
  </si>
  <si>
    <t xml:space="preserve">-10% defensas int y ext
hasta rango B</t>
  </si>
  <si>
    <t xml:space="preserve">Ofensivo / combo</t>
  </si>
  <si>
    <t xml:space="preserve">Alcance 6</t>
  </si>
  <si>
    <t xml:space="preserve">NO</t>
  </si>
  <si>
    <t xml:space="preserve">*Shouton, Kesshou Shuriken *Formo varios shuriken de cristal y los lanzo rápidamente
*Shouton, Kesshou Senbon [30CH] *Formo varios senbon de cristal y los lanzo rápidamente                                      *Shouton, Kesshou Senbon [50CH] *Formo varios senbon de cristal y los lanzo rápidamente
</t>
  </si>
  <si>
    <t xml:space="preserve">/ C /Al 6 / 2REF / -630,10% de Hemorr durante 3 acc /-10% def internas hasta rango B (Shuriken puede elegir otro obj)
/ C /Al 6 / 2REF / -630,10% de Hemorr durante 3 acc /-10% def int hasta rango B (Senbon inhabilita 1 extremidad durante 1 accion)
/ C / Combo / 50CH /Al 6 / 2REF / CD2R/ -562, 10% de hemorr durante 3acc/-10% def internas hasta rango B  (Puedo elegir los objetivos)
/ C / Combo / 50CH /Al 6 / 2REF /CD2R/-562, 10% de hemorr durante 3acc/-10% def internas hasta rango B  (Puedo elegir los objetivos)
x2 Inhabilita 1 extremidad por 2 acciones si recibes daño  (4,5 INT)
x3 Inhabilita 1 extremidad por 2 acciones si recibes daño. (CD3R)
</t>
  </si>
  <si>
    <t xml:space="preserve">Shouton, Rokkaku Shuriken</t>
  </si>
  <si>
    <t xml:space="preserve">Reduce 15% de def internas y externas</t>
  </si>
  <si>
    <t xml:space="preserve">Ofensivo / contrataque</t>
  </si>
  <si>
    <t xml:space="preserve">Frontal 3 x 5</t>
  </si>
  <si>
    <t xml:space="preserve">50CH</t>
  </si>
  <si>
    <t xml:space="preserve">B</t>
  </si>
  <si>
    <t xml:space="preserve">*Shouton, Rokkaku Shuriken [50CH] *Formo una gran cantidad de shuriken que salen disparados hacia ti</t>
  </si>
  <si>
    <t xml:space="preserve">/ B /Frontal 5x7 / -787 /15% de Hemorragia x 3 acciones / Red def 15% hastaB/ 3REF CD2R / 
/ B /Frontal 5x7 / Contrataque/ -787 / CD3R /    (CONTRATAQUE)
</t>
  </si>
  <si>
    <t xml:space="preserve">Shouton, Suishou Hari</t>
  </si>
  <si>
    <t xml:space="preserve">Paraliza e inmoviliza</t>
  </si>
  <si>
    <t xml:space="preserve">Ofensivo / Anticipación</t>
  </si>
  <si>
    <t xml:space="preserve">Alcance 4, Área 1 sobre el objetivo</t>
  </si>
  <si>
    <t xml:space="preserve">40CH</t>
  </si>
  <si>
    <t xml:space="preserve">*Shouton, Suishou Hari [40CH]*Afiladas agujas de cristal morado salen disparadas </t>
  </si>
  <si>
    <t xml:space="preserve">/ C / 40CH/Alc 4 área 1 SO / Paraliza e inmoviliza 2 acc / 2REF y 3PER /CD2R     (SIN DMG)
/ C / -697 /Alc 4 área 1 SO / Paraliza1acc e inmoviliza 2 acc / 2REF y 3PER / CD2R
/ C / -697 / Anticipación/Alc 4 área 1 SO / Paraliza1acc e inmoviliza 2 acc / 2REF y 3PER /CD3R   (ANTICIPACIÓN)</t>
  </si>
  <si>
    <t xml:space="preserve">Shouton, Suishou ro no Jutsu</t>
  </si>
  <si>
    <t xml:space="preserve">Petrifica 2 acc</t>
  </si>
  <si>
    <t xml:space="preserve">45CH</t>
  </si>
  <si>
    <t xml:space="preserve">*Shouton, Suishou Ro no Jutsu [45CH] *Encierro al oponente en una prisión de cristal morado</t>
  </si>
  <si>
    <t xml:space="preserve">/B/45CH/ AL 4, Area 1 SO / Petrifica 2 acc /3 REF para reaccionar/CD2R  4 REF si está en casilla sobre el agua.  -2 Shintai si muere con esta técnica. ANTICIPACIÓN</t>
  </si>
  <si>
    <t xml:space="preserve">Sishou Bunshin</t>
  </si>
  <si>
    <t xml:space="preserve">Suplementario / Anulacion</t>
  </si>
  <si>
    <t xml:space="preserve">*Suishou Bunshin *Aparece un clon de Rinshou, formado por cristal </t>
  </si>
  <si>
    <t xml:space="preserve">/ B / 45CH/Suplementario / Creo un clon
/ B / 45CH/ Defensivo / Anulo los efectos de impacto / 3REF/+2 casillas extra para moverme/ CD3R
</t>
  </si>
  <si>
    <t xml:space="preserve">Shouton, Hashou Koryuu</t>
  </si>
  <si>
    <t xml:space="preserve">Suplementario / Ofensivo</t>
  </si>
  <si>
    <t xml:space="preserve">*Shouton, Hashou Koryuu *Un dragon de cristal morado sale disparado hacia </t>
  </si>
  <si>
    <t xml:space="preserve">/ B  / 40CH / -697 / OF / AL5 Area 1 SO / CD2R / Aturde 1 acc
/ B  / 50CH / -742 / OF / AL6 Area 2 SO / CD2R /Aturde 2 acc / requiere cubrir cielo y es persecutorio
/ B / 25CH/ SUPL / Posición voladora durante 5 acc y +3 casillas de despl. /CD2R     (Una evasion con las casillas extra, puedo usarlo en preparacion)</t>
  </si>
  <si>
    <t xml:space="preserve">SHOUTON: TOGE SEICHOU</t>
  </si>
  <si>
    <t xml:space="preserve">45 CH</t>
  </si>
  <si>
    <t xml:space="preserve">Si</t>
  </si>
  <si>
    <t xml:space="preserve">*Shouton, Toge Seichou [45CH]*Formo cristales espinados que te persiguen
</t>
  </si>
  <si>
    <t xml:space="preserve">/ B / 6AL / -720 y hemorragia del 10% del daño durante 3 acc. / Persecutorio / Def 360 /3CD       PUEDEN SER 2 OBJ
/ B / 7AL / -720 y hemorragia del 10% del daño durante 3 acc. / Persecutorio /Def 360 /3CD
</t>
  </si>
  <si>
    <t xml:space="preserve">SHOUTON: KURISUTARU YARI</t>
  </si>
  <si>
    <t xml:space="preserve">Área Frontal 3x6</t>
  </si>
  <si>
    <t xml:space="preserve">55 CH</t>
  </si>
  <si>
    <t xml:space="preserve">*Shouton, Kurisutaru Yari [55CH] *Formo una gran lanza de cristal morado y me lanzo hacia </t>
  </si>
  <si>
    <t xml:space="preserve"> B / OF / Frontal 3x6 / -810y hemo -67 3acc/ Inhabilita 1 ext 3 acc / 4REF /3CD
Efecto oculto: Reduce un 50/25 defensas internas B/A
</t>
  </si>
  <si>
    <t xml:space="preserve">Shouton, Shuriken Ranbu</t>
  </si>
  <si>
    <t xml:space="preserve">Area 7 sobre el usuario</t>
  </si>
  <si>
    <t xml:space="preserve">60 CH</t>
  </si>
  <si>
    <t xml:space="preserve">*Shouton, Shuriken Ranbu [60CH] *Formo una gran cantidad de shurikens a mi alrededor </t>
  </si>
  <si>
    <t xml:space="preserve">B/ OF / Area 7 SO / -832 y hemo de 15% durante 3 acc / Inhabilita 1 ext 3 acc / Cielo DEF / 3 REF  Reduce def 20% ext y 10% internas
Posición elevada al realizar la técnica
</t>
  </si>
  <si>
    <t xml:space="preserve">Shouton, Omiwatari no jutsu</t>
  </si>
  <si>
    <t xml:space="preserve">Frontal 7x8</t>
  </si>
  <si>
    <t xml:space="preserve">65 CH</t>
  </si>
  <si>
    <t xml:space="preserve">SI</t>
  </si>
  <si>
    <t xml:space="preserve">*Shouton, Omiwatari no Jutsu [65CH] *Grandes cristales afilados surgen desde la superficie
</t>
  </si>
  <si>
    <t xml:space="preserve">/ B /Frontal 7x8 / 3REF y 3PER / -877 y 15% de Hemorr durante 3 acc /-20%/10% def rango B/A / 3CD Terreno destruido  Si te desplazas, sufres daño hasta el final de mi próximo turno de -45. -2 SHINTAIS
TERRENO MOJADO / INUNDADO  (UN USO POR COMBATE)
/ B /Frontal 7x8 / 4REF y 3PER / -877 y 15% de Hemorr durante 3 acc /-20%/10% def rango B/A / 3CD Terreno destruido  Si te desplazas, sufres daño hasta el final de mi próximo turno de -45.
- 2 SHINTAIS</t>
  </si>
  <si>
    <t xml:space="preserve">Shouton, Hishin no Yari</t>
  </si>
  <si>
    <t xml:space="preserve">Ofensivo / DEF</t>
  </si>
  <si>
    <t xml:space="preserve">75 CH</t>
  </si>
  <si>
    <t xml:space="preserve">A</t>
  </si>
  <si>
    <t xml:space="preserve">*Shouton, Hishin no Yari [75CH]*Formo un prisma cristal morado que me rodea                                                                                                                                                             *Shouton, Hishin no Yari *Senkou [30CH]*Formo un rayo a través del prisma, que sale disparado a                                                           </t>
  </si>
  <si>
    <t xml:space="preserve">/ A / DEF externa / Area 1 SO / 900 / DEF todos los angulos    (NO CONSUME TURNO SI LA HAGO EN TURNO PROPIO)
/ A /Alc 13 área 1 SO / -967 / Aturde 1 acc / Atraviesa def B/ -25% def A / 4 REF / 1 vez por combate  (No consume acc)
/ A /Alc 13 área 1 SO / -1237 / Aturde 1 acc / Atraviesa def B/ -25% def A / 4 REF / 1 vez por combate   (Consume 2 acc) +30CH</t>
  </si>
  <si>
    <t xml:space="preserve">SHOUTON KESSHOU GOKAKUROU</t>
  </si>
  <si>
    <t xml:space="preserve">*Shouton, Kessho Gokakurou [60CH]*Formo distintos cristales a mi alrededor, encerrando dentro a 
</t>
  </si>
  <si>
    <t xml:space="preserve">/ B / A 6 SO / DEF 360 y suelo / Petrificacion y aprisionamiento 3 acc / 3 REF / CD 4
/ B / AL 5 y 3SO / DEF 360 y suelo / Petrificacion y aprisionamiento 3 acc / 3 REF / CD 4
/ B / A 6 SO / DEF 360 y suelo / Petrificacion y aprisionamiento 3 acc / 4 REF / CD 4    (Humedo / inundado)
/ B / AL 5 y 3SO / DEF 360 y suelo / Petrificacion y aprisionamiento 3 acc / 4 REF / CD 4 (Humedo / inundado)</t>
  </si>
  <si>
    <t xml:space="preserve">SHOUTON KYOUDAI ROKKAKU SHURIKEN</t>
  </si>
  <si>
    <t xml:space="preserve">Alcance 8 área 1 sobre objetivo</t>
  </si>
  <si>
    <t xml:space="preserve">*Shouton Kyoudai Rokkaku Shuriken [55CH] *Formo una gran shuriken de cristal y lo lanzo </t>
  </si>
  <si>
    <t xml:space="preserve"> B / OF / AL 8 1 SO / -832 y hemo del 15% 3 acc / Red def 15% hasta rango A / 4REF /4CD
 B / OF / AL 8 2 SO / -832 y hemo del 15% 3 acc / Red def 15% hasta rango A / 4REF /4CD   Alcance 7 o superior
 POR 40 de CH más puede lanzar el mismo atq otra vez. Pero de 3 REF.
</t>
  </si>
  <si>
    <t xml:space="preserve">SHOUTON KURISUTARU KOMAMU -</t>
  </si>
  <si>
    <t xml:space="preserve">Ofensivo / Combo</t>
  </si>
  <si>
    <t xml:space="preserve">Alcance 6, Área 1
sobre el objetivo</t>
  </si>
  <si>
    <t xml:space="preserve">*Shouton, Shuriken Ranbu [50CH] *Pilares de cristal caen del cielo impactando en     
*Shouton, Shuriken Ranbu [45CH] *Pilares de cristal caen del cielo impactando en  (Combo)</t>
  </si>
  <si>
    <t xml:space="preserve">B/ OF / AL 6 SO 1 / -787 e inmoviliza 2 acc / def cielo / CD 2
B/ OF / AL 6 SO 1 / Combo /  -585 cada golpe e inmoviliza 1 acc cada golpe x 2 / Def cielo / CD2 (se puede hacer lo mismo x 3)
</t>
  </si>
  <si>
    <t xml:space="preserve">DAÑO/DEF</t>
  </si>
  <si>
    <t xml:space="preserve">Suiton Mizurappa</t>
  </si>
  <si>
    <t xml:space="preserve">Empuja 2 casillas
hacia atras</t>
  </si>
  <si>
    <t xml:space="preserve">Terreno Humedo 
2 acciones</t>
  </si>
  <si>
    <t xml:space="preserve">Ofensivo/Contraataque</t>
  </si>
  <si>
    <t xml:space="preserve">Cónico 3</t>
  </si>
  <si>
    <t xml:space="preserve">35CH</t>
  </si>
  <si>
    <t xml:space="preserve">*Suiton Mizurappa [35CH] *Expulso un potente chorro de agua de alta presión.</t>
  </si>
  <si>
    <t xml:space="preserve">/ C / Cónico 4 / -607, empuja 2 casillas hacia atras y Terreno Húmedo por 2 acciones
/ C / Contraataque / Cónico 4 / CD: 3Rs / -607, empuja 2 casillas hacia atras y Terreno Húmedo por 2 acciones</t>
  </si>
  <si>
    <t xml:space="preserve">Suiton Suireiha</t>
  </si>
  <si>
    <t xml:space="preserve">Aturde 1 accion</t>
  </si>
  <si>
    <t xml:space="preserve">2 ataques
2 acciones</t>
  </si>
  <si>
    <t xml:space="preserve">Combo</t>
  </si>
  <si>
    <t xml:space="preserve">Alcance 5</t>
  </si>
  <si>
    <t xml:space="preserve">*Suiton Suireiha [45CH] *Le apunto con el dedo indice y disparo una bola de agua</t>
  </si>
  <si>
    <t xml:space="preserve">/ C / Combo / Alcance 5 / CD: 2Rs / 1er ataque a 3 REF / -517 y aturde 1 accion *2 
/ C / Combo / Alcance 5 / CD: 2Rs / 1er ataque a 3 REF / -517y aturde 1 accion *3 (una vez por combate) 
</t>
  </si>
  <si>
    <t xml:space="preserve">Suiton Suijinheki</t>
  </si>
  <si>
    <t xml:space="preserve">Empuja
2 casillas</t>
  </si>
  <si>
    <t xml:space="preserve">Terreno Inundado
+15CH 
NIN * 1,95</t>
  </si>
  <si>
    <t xml:space="preserve">Área 1 sobre el usuario</t>
  </si>
  <si>
    <t xml:space="preserve">*Suiton Suijinheki [50CH] *Creo un muro de agua que me cubre todos los angulos</t>
  </si>
  <si>
    <t xml:space="preserve">/ B / Área 1 sobre usuario / Cubre 360 y cielo. / 720
(Terreno Inundado permite invertir 15CH para defender NIN * 1,95)
(Cubre todos los angulos menos suelo)
</t>
  </si>
  <si>
    <t xml:space="preserve">Suiton Suiryuudan no Jutsu</t>
  </si>
  <si>
    <t xml:space="preserve">Aturde 1A</t>
  </si>
  <si>
    <t xml:space="preserve">Alcance 7 y 
Área 1 sobre el objetivo.</t>
  </si>
  <si>
    <t xml:space="preserve">55CH</t>
  </si>
  <si>
    <t xml:space="preserve">*Suiton Suiryuudan no Jutsu [55CH] *Formo 2 dragones gigantes de agua</t>
  </si>
  <si>
    <t xml:space="preserve">/ B / Alcance 7 y Área 1 S.O / 55CH / -742 en área 1 sobre el objetivo y te aturde 1 acción
/ B / Alcance 7 y Área 2 S.O / 60CH / -742 en área 1 sobre el objetivo y te aturde 1 acción
/ B / Contraataque / Alcance 7 y Área 1 S.O / 55CH / CD: 3Rs / -742 en área 1 sobre el objetivo y te aturde 1 acción
(Se puede utilizar como Contraataque con 1 uso cada 3 rondas.)
(Puede añadir +10 de Chakra para que el área de impacto pase de área 1 a área 2 sobre el objetivo.)
(Además quitará -1 Shintai adicional si el oponente cae con esta habilidad.)</t>
  </si>
  <si>
    <t xml:space="preserve">Suiton Mizuarare</t>
  </si>
  <si>
    <t xml:space="preserve">Aturde 1A
-10% a defensas Int/Ext
hasta rango B</t>
  </si>
  <si>
    <t xml:space="preserve">*Suiton Mizuarare [50CH] *Junto las palmas de la mano y disparo cientos de balas de agua</t>
  </si>
  <si>
    <t xml:space="preserve"> / B / Alcance 8 / 2REF / -697, 10% de Hemorragia por 2 acciones, aturdido 1 accion y -10% todas las defensas ext/int hasta Rango B
 / B / Alcance 8 / Contraataque / CD: 3Rs / -6970,10% de Hemorragia por 2 acciones, aturdido 1 accion y -10% todas las defensas ext/int hasta Rango B
- Se puede utilizar como Contraataque con 1 uso cada 3 rondas.
</t>
  </si>
  <si>
    <t xml:space="preserve">Doton Doroku Gaeishi</t>
  </si>
  <si>
    <t xml:space="preserve">Defensa</t>
  </si>
  <si>
    <t xml:space="preserve">*Doton Doroku Gaeshi [35CH] *Golpeo el suelo y alzo una pared de piedra</t>
  </si>
  <si>
    <t xml:space="preserve">/ C / Propio / DEF externa de 675
</t>
  </si>
  <si>
    <t xml:space="preserve">Doton Dorojigoku</t>
  </si>
  <si>
    <t xml:space="preserve">Inmoviliza 
2 acciones</t>
  </si>
  <si>
    <r>
      <rPr>
        <i val="true"/>
        <sz val="11"/>
        <color theme="1"/>
        <rFont val="Arial"/>
        <family val="0"/>
        <charset val="1"/>
      </rPr>
      <t xml:space="preserve">Cam</t>
    </r>
    <r>
      <rPr>
        <i val="true"/>
        <sz val="11"/>
        <color rgb="FF434343"/>
        <rFont val="Arial"/>
        <family val="0"/>
        <charset val="1"/>
      </rPr>
      <t xml:space="preserve">po Lodoso</t>
    </r>
    <r>
      <rPr>
        <sz val="11"/>
        <color theme="1"/>
        <rFont val="Arial"/>
        <family val="0"/>
        <charset val="1"/>
      </rPr>
      <t xml:space="preserve">
inmoviliza 
3 acciones</t>
    </r>
  </si>
  <si>
    <t xml:space="preserve">2 PER y 2 REF</t>
  </si>
  <si>
    <t xml:space="preserve">Área 1 sobre el objetivo
 Alcance 3</t>
  </si>
  <si>
    <t xml:space="preserve">*Doton Dorojigoku [35CH] *La tierra de tu alrededor te aprisiona</t>
  </si>
  <si>
    <t xml:space="preserve">/ C / Área 1 S.O y Alcance 3 / 35CH / 2PER y 2REF / Inmoviliza por 2 acciones (PUEDO ELEGIR 2 OBJ)
Si el terreno se encuentra en Campo Lodoso, la inmovilización pasa a ser de 3 acciones y en alcance área 2 sobre el objetivo.
</t>
  </si>
  <si>
    <t xml:space="preserve">Doton Tobi Tsubute</t>
  </si>
  <si>
    <t xml:space="preserve">Alcance 8</t>
  </si>
  <si>
    <t xml:space="preserve">*Doton Tobi Tsubute [45CH] *Coloco las manos en el suelo y cientos de rocas salen disparadas hacia ti</t>
  </si>
  <si>
    <t xml:space="preserve">/ C / Combo / Alcance 8 / 45CH / CD: 2Rs / -517 y Aturde 1 accion *2   Puedo utilizar un tercer combo una vez por combate.
</t>
  </si>
  <si>
    <t xml:space="preserve">Doton Ganchuusou</t>
  </si>
  <si>
    <t xml:space="preserve">
-15% a defensas Int
hasta rango B
</t>
  </si>
  <si>
    <t xml:space="preserve">Alcance 5, área 1 SO</t>
  </si>
  <si>
    <t xml:space="preserve">*Doton Ganchuusou [50CH] *Pilares de roca gigantes salen del suelo y te impactan</t>
  </si>
  <si>
    <t xml:space="preserve"> / C / Alcance 5 / 3PER y 2REF / CD: 2Rs / Requiere defender suelo / -720 Hemorragia de -15% por 2 acciones y reduce 10% las defensas internas hasta rango B
</t>
  </si>
  <si>
    <t xml:space="preserve">Doton Sazareishi</t>
  </si>
  <si>
    <t xml:space="preserve">Paraliza 2 acciones
Inmoviliza 3 acciones</t>
  </si>
  <si>
    <t xml:space="preserve">2 REF</t>
  </si>
  <si>
    <t xml:space="preserve">Alcance 3</t>
  </si>
  <si>
    <t xml:space="preserve">*Doton Sazareishi [45CH] *La tierra de tu alrededor se condensa atrapandote</t>
  </si>
  <si>
    <t xml:space="preserve">/ C / Alcance 3 Area 1 SO / 45CH / 2PER y 2 REF / CD: 2Rs / Te paralizo 2 acciones e inmovilizo por 3 acciones
</t>
  </si>
  <si>
    <t xml:space="preserve">Doton Tsuchi Nami no Jutsu</t>
  </si>
  <si>
    <t xml:space="preserve">Empuja 2 casillas y derriba</t>
  </si>
  <si>
    <t xml:space="preserve">30CH</t>
  </si>
  <si>
    <t xml:space="preserve">*Doton Tsuchi Nami no Jutsu [30CH] *Toco el suelo y este comienza a moverse formando ondas</t>
  </si>
  <si>
    <t xml:space="preserve">/ C / Área 2 S.O / Te empuja 2 casillas y derriba si no posees mas de 4.5FUE
/ C / Anticipacion / Área 2 S.O / CD: 3Rs / Te empuja 1 casilla y derriba si no posees mas de 4.5FUE  (ANTICIPACIÓN)
</t>
  </si>
  <si>
    <t xml:space="preserve">Doton Doryuuheki </t>
  </si>
  <si>
    <t xml:space="preserve">10CH (877)</t>
  </si>
  <si>
    <t xml:space="preserve">Área Frontal 5x1</t>
  </si>
  <si>
    <t xml:space="preserve">*Doton Doryuuheki [55CH] *Se alza un muro enorme de tierra que me protege  
*Doton Doryuuheki [65CH] *Se alza un muro enorme de tierra que me protege
</t>
  </si>
  <si>
    <t xml:space="preserve">/ B / Área 5x1 al frente del usuario /55CH / 810 DEF externa y permanece 2 acciones en el campo
/ B / Área 5x1 al frente del usuario / 65CH / 877 DEF externa y permanece 2 acciones en el campo</t>
  </si>
  <si>
    <t xml:space="preserve">Raiton Ikazuchi Unagi</t>
  </si>
  <si>
    <t xml:space="preserve">Paraliza 1 accion</t>
  </si>
  <si>
    <t xml:space="preserve">*Raiton Ikazuchi Unagi [35CH] *Genero una descarga eléctrica a mi alrededor</t>
  </si>
  <si>
    <t xml:space="preserve">/ C / Área 1 S.U  / 2REF / -652 y paraliza 1 accion
/ C / Contraataque / Área 1 sobre el usuario / 2REF / CD: 3Rs / -652 y paraliza 1 accion  (se puede utilizar a ALC 1)
/ C / Área 2 S.U  / 2REF / -652 y paraliza 1 accion (Terreno humedo)
</t>
  </si>
  <si>
    <t xml:space="preserve">Raikyuu</t>
  </si>
  <si>
    <t xml:space="preserve">Paraliza 1 accion
-10% Defensas
Hasta rango B</t>
  </si>
  <si>
    <t xml:space="preserve">2 ataques.
2 acciones   </t>
  </si>
  <si>
    <t xml:space="preserve">*Raikyuu [45CH] *Genero una bola electrica que impacta en el enemigo</t>
  </si>
  <si>
    <t xml:space="preserve">/ C / Combo / Alcance 4 / 3REF / CD: 2Rs / -517 paraliza 1 accion y -10% a las defensas hasta Rango B * 2
</t>
  </si>
  <si>
    <t xml:space="preserve">Raiton Raihazan</t>
  </si>
  <si>
    <t xml:space="preserve">Ofensiva / Anticipacion</t>
  </si>
  <si>
    <t xml:space="preserve">*Raiton Raihazan [40CH] *Libera una onda en forma de X de chakra de eléctrico </t>
  </si>
  <si>
    <t xml:space="preserve">/ C / Anticipación / Alcance 3 / 3REF / CD: 3Rs / -675 y paraliza 1 accion/  (ANTICIPACION)                                                                                                                    / C / OF / Alcance 3 / 3REF / CD: 3Rs / -675 y paraliza 1 accion</t>
  </si>
  <si>
    <t xml:space="preserve">Raiton Jibashi</t>
  </si>
  <si>
    <t xml:space="preserve">Paraliza 2 acciones</t>
  </si>
  <si>
    <t xml:space="preserve">-20% defensas int
hasta rango B</t>
  </si>
  <si>
    <t xml:space="preserve">Alcance 4 </t>
  </si>
  <si>
    <t xml:space="preserve">*Raiton Jibashi [45CH] *Una gran descarga electrica surge de mis manos impactando en el enemigo</t>
  </si>
  <si>
    <t xml:space="preserve">/ C / Alcance 4 y Área 1 S.O / -720, paralizado 2 acciones y -20% a defensas internas hasta rango B
</t>
  </si>
  <si>
    <t xml:space="preserve">Raiton Ikazuchi no Utage</t>
  </si>
  <si>
    <t xml:space="preserve">-1 Shintai adicional</t>
  </si>
  <si>
    <t xml:space="preserve">Lineal 6</t>
  </si>
  <si>
    <t xml:space="preserve">*Raiton Ikazuchi no Utage [55CH] *Varios rayos salen de mi mano hacia el objetivo</t>
  </si>
  <si>
    <t xml:space="preserve">/ B / Alcance 6 y Área 1 S.O / 2REF / -742 y paraliza 2 acciones
/ B / Alcance 6 y Área 1 S.O / 3REF / CD: 3Rs / -742 y paraliza 2 acciones
- Si el oponente cae con esta habilidad, perderá -1 Shintai adicional.
- Si el objetivo se encuentra en terreno mojado o inundado, entonces el alcance de la habilidad pasa a ser Alcance 6, Área 1 sobre el objetivo.</t>
  </si>
  <si>
    <t xml:space="preserve">Habilidades Pasivas:</t>
  </si>
  <si>
    <t xml:space="preserve">Shousen no Jutsu</t>
  </si>
  <si>
    <t xml:space="preserve">Propio
Alcance 1</t>
  </si>
  <si>
    <t xml:space="preserve">35 CH</t>
  </si>
  <si>
    <t xml:space="preserve">*Shousen no Jutsu [35 CH] *Chakra verdoso curativo emana de mis manos
*Shousen no Jutsu [55 CH] *Chakra verdoso curativo emana de mis manos
*Shousen no Jutsu [60 CH] *Chakra verdoso curativo emana de mis manos</t>
  </si>
  <si>
    <t xml:space="preserve">/ A / Propio - Alcance 1 / Curo +675 de VIT, estados alterados e inhabilitacion de extremidades 
/ A / Propio - Alcance 1 / Curo +750 de VIT, estados alterados e inhabilitacion de extremidades 
/ A / Propio - Alcance 1 / NCA /  Curo +450 de VIT, estados alterados e inhabilitacion de extremidades 
</t>
  </si>
  <si>
    <t xml:space="preserve">Chikatsu Saisei no Jutsu</t>
  </si>
  <si>
    <t xml:space="preserve">*Chikatsu Saisei no Jutsu [60 CH] *Conentro una gran cantidad de chrakra curativo en mis palmas</t>
  </si>
  <si>
    <t xml:space="preserve">/ A / Propio - Alcance 1 /</t>
  </si>
  <si>
    <t xml:space="preserve">Saibou Kassei no Jutsu</t>
  </si>
  <si>
    <t xml:space="preserve">Saikan Chuushutsu no Jutsu</t>
  </si>
  <si>
    <t xml:space="preserve">20 CH</t>
  </si>
  <si>
    <t xml:space="preserve">*Saikan Chuushutsu no Jutsu [20 CH] *Chakra curativo me rodea las manos extrayendo el veneno</t>
  </si>
  <si>
    <t xml:space="preserve">/ B / Propio - Alcance 1 / Extraigo el veneno 
/ B / Propio - Alcance 1 / Un uso por combate / Extraigo el veneno</t>
  </si>
  <si>
    <t xml:space="preserve">Katon Endan</t>
  </si>
  <si>
    <t xml:space="preserve">Cónico 4</t>
  </si>
  <si>
    <t xml:space="preserve">*Katon Endan [40CH] *Escupo una gran bola de fuego hacia el enemigo</t>
  </si>
  <si>
    <t xml:space="preserve">/ C / Cónico 4 / -800 y quemadura del 10% por 3 acciones 
/ C / Contraataque / Cónico 4 / CD: 3Rs / -800 y quemadura del 10% por 3 acciones </t>
  </si>
  <si>
    <t xml:space="preserve">Katon Homuranagase</t>
  </si>
  <si>
    <t xml:space="preserve">2 ataques. 2A's      </t>
  </si>
  <si>
    <t xml:space="preserve">*Katon Homuranagase [40CH] *Expulso de mi boca una gran cantidad de bolas de fuego</t>
  </si>
  <si>
    <t xml:space="preserve">/ C / Alcance 4 / CD: 2Rs / 2 REF / -575 y quemadura del 10% por 3 acciones *2 </t>
  </si>
  <si>
    <t xml:space="preserve">Katon Kaen Senpuu</t>
  </si>
  <si>
    <t xml:space="preserve">*Katon Kaen Senpuu [45CH] *Me rodeo de una espiral de fuego que incinerando todo a su paso </t>
  </si>
  <si>
    <t xml:space="preserve">/ B / Área 1 sobre usuario / 2 REF / -775 y una quemadura de -77.5 por 2 acciones
(Contraataque 1 uso cada 3Rs)
(+5CH aumenta a Área 2 sobre el usuario)
(+1 REF para contraataque 1 uso por combate) 
</t>
  </si>
  <si>
    <t xml:space="preserve">Katon Enshoudan</t>
  </si>
  <si>
    <t xml:space="preserve">Alcance 5 y 
Área 1 sobre el objetivo.</t>
  </si>
  <si>
    <t xml:space="preserve">*Katon Enshoudan [50CH] *Expulso una pequeña bola de fuego que explota al impactar.</t>
  </si>
  <si>
    <t xml:space="preserve">/ B / Alcance 5 y Área 1 S.O / 2 REF / -825, quemadura de 10% por 3 acciones, -10% a las defensas hasta rango B, aturde 1 acción y destruye el terreno por 2 acciones
/ B / Alcance 6 y Área 1 S.O / 3 REF / CD: 3Rs / -825, quemadura de 10% por 3 acciones, -10% a las defensas hasta rango B, aturde 1 acción y destruye el terreno por 2 acciones
</t>
  </si>
  <si>
    <t xml:space="preserve">Katon Karyuudan</t>
  </si>
  <si>
    <t xml:space="preserve">*Katon Karyuudan [55CH] *Expulso una ola de fuego con forma de dragón</t>
  </si>
  <si>
    <t xml:space="preserve">/ B / Lineal 6 / -875 y una quemadura de -131.25 por 3 acciones
- Es posible invertir +5 CH para que afecte en Lineal 3x6.
- Produce una pérdida de -1 Shintai adicional.
</t>
  </si>
  <si>
    <t xml:space="preserve">Fuuton Toppa</t>
  </si>
  <si>
    <t xml:space="preserve">Ofensivo/Anticipacion</t>
  </si>
  <si>
    <t xml:space="preserve">*Fuuton Toppa [30CH] *Genero una gran ola de viento</t>
  </si>
  <si>
    <t xml:space="preserve">/ D / Alcance 4 / -650
/ D / Anticipación / Alcance 4 / 1 uso por combate / -650
</t>
  </si>
  <si>
    <t xml:space="preserve">Fuuton Daitoppa</t>
  </si>
  <si>
    <t xml:space="preserve">Empuja 3 casillas
Derriba -4.5FUE</t>
  </si>
  <si>
    <t xml:space="preserve">Cónico 5</t>
  </si>
  <si>
    <t xml:space="preserve">*Fuuton Daitoppa [40CH] *Lanzo una rafaga de viento hacia los enemigos destrozando todo a su paso</t>
  </si>
  <si>
    <t xml:space="preserve">/ C / Cónico 5 / -675, empuja 3 casillas hacia atras, derriba si tienes menos de 4.5FUE / Genera Turbulencias en el area afectada por 2 acciones, disipando humos y nieblas hasta rango B
/ C / Contraataque / Cónico 5 / CD: 3Rs / -675, empuja 3 casillas hacia atras, derriba si tienes menos de 4.5FUE / Genera Turbulencias en el area afectada por 2 acciones, disipando humos y nieblas hasta rango B
</t>
  </si>
  <si>
    <t xml:space="preserve">Fuuton Reppuushou</t>
  </si>
  <si>
    <t xml:space="preserve">Empuja 2 casillas</t>
  </si>
  <si>
    <t xml:space="preserve">Ofensivo/Suplementario</t>
  </si>
  <si>
    <t xml:space="preserve">30H</t>
  </si>
  <si>
    <t xml:space="preserve">*Fuuton Reppuushou [30CH] *Choco mis palmas y suelto una ola de aire comprimido</t>
  </si>
  <si>
    <t xml:space="preserve"> C / Alcance 5 / 2REF / -625, empuja 2 casillas y provoca derriba si no se posee 4.5FUE
</t>
  </si>
  <si>
    <t xml:space="preserve">Fuujinheki</t>
  </si>
  <si>
    <t xml:space="preserve">Empuja 1 casilla</t>
  </si>
  <si>
    <t xml:space="preserve">*Fuujinheki [40CH] *Genero un remolino a mi alrededor que me defiende</t>
  </si>
  <si>
    <t xml:space="preserve"> / C / Propio / DEF de 700 en área 3x1 al frente del usuario y empuja 1 casilla
- Es posible consumir +15 CH para aumentar la defensa a NIN * 1,8.
</t>
  </si>
  <si>
    <t xml:space="preserve">Fuuton Kaiten Shuriken</t>
  </si>
  <si>
    <t xml:space="preserve">Alcance 7</t>
  </si>
  <si>
    <t xml:space="preserve">*Fuuton Kaiten Shuriken [45CH] *Lanzo shurikens potenciados con fuuton y aumentan su velocidad</t>
  </si>
  <si>
    <t xml:space="preserve">/ B / Combo / Alcance 7 / 3REF 1er ataque / CD: 2Rs / -525, -26.25 de hemorragia x 2 acciones y -10% a las defensas externas/internas que sean sólidas hasta Rango B * 2
/ B / Combo / Alcance 7 / 3REF 1er ataque / CD: 3Rs / -525, -26.25 de hemorragia x 2 acciones y -10% a las defensas externas/internas que sean sólidas hasta Rango B * 3
</t>
  </si>
  <si>
    <t xml:space="preserve">Fuuton Kuudan</t>
  </si>
  <si>
    <t xml:space="preserve">Derriba -4.5FUE
-10% defensas
hasta rango B</t>
  </si>
  <si>
    <t xml:space="preserve">Área Frontal 3x4</t>
  </si>
  <si>
    <t xml:space="preserve">*Fuuton Kuudan [55CH] *Disparo múltiples balas de aire a gran velocidad contra el oponente</t>
  </si>
  <si>
    <t xml:space="preserve"> / B / Área Frontal 3x4 / 2REF / -825, hemorragia de -82.5 por 3 acciones, derriba si tienes menos de 4.5FUE y -10% la defensas hasta de Rango B
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</si>
</sst>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FFFFFF"/>
      <name val="Arial"/>
      <family val="0"/>
      <charset val="1"/>
    </font>
    <font>
      <sz val="14"/>
      <color rgb="FF10B981"/>
      <name val="Arial"/>
      <family val="0"/>
      <charset val="1"/>
    </font>
    <font>
      <i val="true"/>
      <sz val="11"/>
      <color theme="1"/>
      <name val="Arial"/>
      <family val="0"/>
      <charset val="1"/>
    </font>
    <font>
      <i val="true"/>
      <sz val="11"/>
      <color rgb="FF434343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999999"/>
        <bgColor rgb="FF808080"/>
      </patternFill>
    </fill>
    <fill>
      <patternFill patternType="solid">
        <fgColor rgb="FFFFF2CC"/>
        <bgColor rgb="FFF9FAFB"/>
      </patternFill>
    </fill>
    <fill>
      <patternFill patternType="solid">
        <fgColor rgb="FFFFE599"/>
        <bgColor rgb="FFFFF2CC"/>
      </patternFill>
    </fill>
    <fill>
      <patternFill patternType="solid">
        <fgColor rgb="FFF9FAFB"/>
        <bgColor rgb="FFFFFFFF"/>
      </patternFill>
    </fill>
    <fill>
      <patternFill patternType="solid">
        <fgColor rgb="FF9FC5E8"/>
        <bgColor rgb="FFB6D7A8"/>
      </patternFill>
    </fill>
    <fill>
      <patternFill patternType="solid">
        <fgColor rgb="FFE6B8AF"/>
        <bgColor rgb="FFEA9999"/>
      </patternFill>
    </fill>
    <fill>
      <patternFill patternType="solid">
        <fgColor rgb="FFB6D7A8"/>
        <bgColor rgb="FFD9D9D9"/>
      </patternFill>
    </fill>
    <fill>
      <patternFill patternType="solid">
        <fgColor rgb="FFEA9999"/>
        <bgColor rgb="FFFF8080"/>
      </patternFill>
    </fill>
    <fill>
      <patternFill patternType="solid">
        <fgColor rgb="FFD9D9D9"/>
        <bgColor rgb="FFB6D7A8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2CC"/>
      <rgbColor rgb="FFF9FA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FC5E8"/>
      <rgbColor rgb="FFEA9999"/>
      <rgbColor rgb="FFE6B8AF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10B981"/>
      <rgbColor rgb="FF003300"/>
      <rgbColor rgb="FF333300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3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9.51"/>
    <col collapsed="false" customWidth="true" hidden="false" outlineLevel="0" max="5" min="5" style="0" width="21.25"/>
    <col collapsed="false" customWidth="true" hidden="false" outlineLevel="0" max="6" min="6" style="0" width="26.5"/>
    <col collapsed="false" customWidth="true" hidden="false" outlineLevel="0" max="9" min="8" style="0" width="8"/>
    <col collapsed="false" customWidth="true" hidden="false" outlineLevel="0" max="10" min="10" style="0" width="56.38"/>
    <col collapsed="false" customWidth="true" hidden="false" outlineLevel="0" max="11" min="11" style="0" width="32.3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" t="s">
        <v>11</v>
      </c>
      <c r="B2" s="3" t="e">
        <f aca="false">-((#REF!)*0.4)+((#REF!*100)*0.4)</f>
        <v>#REF!</v>
      </c>
      <c r="C2" s="3"/>
      <c r="D2" s="3"/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customFormat="false" ht="15.75" hidden="false" customHeight="false" outlineLevel="0" collapsed="false">
      <c r="A3" s="2" t="s">
        <v>17</v>
      </c>
      <c r="B3" s="3" t="e">
        <f aca="false">-((((#REF!)*0.4)+((#REF!*100)*0.4))+#REF!)</f>
        <v>#REF!</v>
      </c>
      <c r="C3" s="3"/>
      <c r="D3" s="3"/>
      <c r="E3" s="3" t="s">
        <v>12</v>
      </c>
      <c r="F3" s="3" t="s">
        <v>13</v>
      </c>
      <c r="G3" s="3" t="s">
        <v>14</v>
      </c>
      <c r="H3" s="3" t="s">
        <v>15</v>
      </c>
      <c r="I3" s="3" t="s">
        <v>16</v>
      </c>
    </row>
    <row r="4" customFormat="false" ht="15.75" hidden="false" customHeight="false" outlineLevel="0" collapsed="false">
      <c r="A4" s="2" t="s">
        <v>18</v>
      </c>
      <c r="B4" s="3" t="e">
        <f aca="false">-((#REF!*0.4)+((#REF!*100)*0.4))</f>
        <v>#REF!</v>
      </c>
      <c r="C4" s="3"/>
      <c r="D4" s="3"/>
      <c r="E4" s="3" t="s">
        <v>12</v>
      </c>
      <c r="F4" s="3" t="s">
        <v>19</v>
      </c>
      <c r="G4" s="3" t="s">
        <v>14</v>
      </c>
      <c r="H4" s="3" t="s">
        <v>15</v>
      </c>
      <c r="I4" s="3" t="s">
        <v>16</v>
      </c>
      <c r="J4" s="4" t="s">
        <v>20</v>
      </c>
      <c r="K4" s="5" t="s">
        <v>21</v>
      </c>
    </row>
    <row r="5" customFormat="false" ht="15.75" hidden="false" customHeight="false" outlineLevel="0" collapsed="false">
      <c r="A5" s="2" t="s">
        <v>22</v>
      </c>
      <c r="B5" s="3" t="e">
        <f aca="false">-((#REF! *100)*0.8)</f>
        <v>#REF!</v>
      </c>
      <c r="C5" s="3"/>
      <c r="D5" s="3"/>
      <c r="E5" s="3" t="s">
        <v>23</v>
      </c>
      <c r="F5" s="3" t="s">
        <v>24</v>
      </c>
      <c r="G5" s="3" t="s">
        <v>14</v>
      </c>
      <c r="H5" s="3" t="s">
        <v>15</v>
      </c>
      <c r="I5" s="3" t="s">
        <v>16</v>
      </c>
      <c r="J5" s="4" t="s">
        <v>25</v>
      </c>
      <c r="K5" s="5" t="s">
        <v>26</v>
      </c>
    </row>
    <row r="6" customFormat="false" ht="15.75" hidden="false" customHeight="false" outlineLevel="0" collapsed="false">
      <c r="A6" s="2" t="s">
        <v>27</v>
      </c>
      <c r="B6" s="3" t="e">
        <f aca="false">-(((#REF!)*0.4)+((#REF!*100)*0.4))</f>
        <v>#REF!</v>
      </c>
      <c r="C6" s="3"/>
      <c r="D6" s="3"/>
      <c r="E6" s="3" t="s">
        <v>23</v>
      </c>
      <c r="F6" s="3" t="s">
        <v>24</v>
      </c>
      <c r="G6" s="3" t="s">
        <v>14</v>
      </c>
      <c r="H6" s="3" t="s">
        <v>15</v>
      </c>
      <c r="I6" s="3" t="s">
        <v>16</v>
      </c>
      <c r="J6" s="4"/>
    </row>
    <row r="7" customFormat="false" ht="15.75" hidden="false" customHeight="false" outlineLevel="0" collapsed="false">
      <c r="A7" s="2" t="s">
        <v>28</v>
      </c>
      <c r="B7" s="3" t="e">
        <f aca="false">-((#REF! *100)*0.8)</f>
        <v>#REF!</v>
      </c>
      <c r="C7" s="3"/>
      <c r="D7" s="3"/>
      <c r="E7" s="3" t="s">
        <v>12</v>
      </c>
      <c r="F7" s="3" t="s">
        <v>13</v>
      </c>
      <c r="G7" s="3" t="s">
        <v>14</v>
      </c>
      <c r="H7" s="3" t="s">
        <v>15</v>
      </c>
      <c r="I7" s="3" t="s">
        <v>16</v>
      </c>
      <c r="J7" s="4" t="s">
        <v>29</v>
      </c>
      <c r="K7" s="5" t="s">
        <v>30</v>
      </c>
    </row>
    <row r="8" customFormat="false" ht="15.75" hidden="false" customHeight="false" outlineLevel="0" collapsed="false">
      <c r="A8" s="2" t="s">
        <v>31</v>
      </c>
      <c r="B8" s="3"/>
      <c r="C8" s="3"/>
      <c r="D8" s="3"/>
      <c r="E8" s="3" t="s">
        <v>32</v>
      </c>
      <c r="F8" s="3" t="s">
        <v>24</v>
      </c>
      <c r="G8" s="3" t="s">
        <v>33</v>
      </c>
      <c r="H8" s="3" t="s">
        <v>15</v>
      </c>
      <c r="I8" s="3" t="s">
        <v>16</v>
      </c>
      <c r="J8" s="6" t="s">
        <v>34</v>
      </c>
    </row>
    <row r="9" customFormat="false" ht="15.75" hidden="false" customHeight="false" outlineLevel="0" collapsed="false">
      <c r="A9" s="2" t="s">
        <v>35</v>
      </c>
      <c r="B9" s="3"/>
      <c r="C9" s="3"/>
      <c r="D9" s="3"/>
      <c r="E9" s="3" t="s">
        <v>36</v>
      </c>
      <c r="F9" s="3" t="s">
        <v>24</v>
      </c>
      <c r="G9" s="3" t="s">
        <v>14</v>
      </c>
      <c r="H9" s="3" t="s">
        <v>15</v>
      </c>
      <c r="I9" s="3" t="s">
        <v>16</v>
      </c>
    </row>
    <row r="10" customFormat="false" ht="15.75" hidden="false" customHeight="false" outlineLevel="0" collapsed="false">
      <c r="A10" s="2" t="s">
        <v>37</v>
      </c>
      <c r="B10" s="3"/>
      <c r="C10" s="3"/>
      <c r="D10" s="3"/>
      <c r="E10" s="3" t="s">
        <v>36</v>
      </c>
      <c r="F10" s="3" t="s">
        <v>24</v>
      </c>
      <c r="G10" s="3" t="s">
        <v>14</v>
      </c>
      <c r="H10" s="3" t="s">
        <v>15</v>
      </c>
      <c r="I10" s="3" t="s">
        <v>16</v>
      </c>
      <c r="J10" s="6" t="s">
        <v>38</v>
      </c>
    </row>
    <row r="11" customFormat="false" ht="15.75" hidden="false" customHeight="false" outlineLevel="0" collapsed="false">
      <c r="A11" s="2" t="s">
        <v>39</v>
      </c>
      <c r="B11" s="3"/>
      <c r="C11" s="3"/>
      <c r="D11" s="3"/>
      <c r="E11" s="3" t="s">
        <v>36</v>
      </c>
      <c r="F11" s="3" t="s">
        <v>24</v>
      </c>
      <c r="G11" s="3" t="s">
        <v>14</v>
      </c>
      <c r="H11" s="3" t="s">
        <v>15</v>
      </c>
      <c r="I11" s="3" t="s">
        <v>16</v>
      </c>
      <c r="J11" s="6" t="s">
        <v>40</v>
      </c>
    </row>
    <row r="12" customFormat="false" ht="15.75" hidden="false" customHeight="false" outlineLevel="0" collapsed="false">
      <c r="A12" s="2" t="s">
        <v>41</v>
      </c>
      <c r="B12" s="3"/>
      <c r="C12" s="3"/>
      <c r="D12" s="3"/>
      <c r="E12" s="3" t="s">
        <v>36</v>
      </c>
      <c r="F12" s="3" t="s">
        <v>24</v>
      </c>
      <c r="G12" s="3" t="s">
        <v>14</v>
      </c>
      <c r="H12" s="3" t="s">
        <v>15</v>
      </c>
      <c r="I12" s="3" t="s">
        <v>16</v>
      </c>
      <c r="J12" s="6" t="s">
        <v>42</v>
      </c>
    </row>
    <row r="13" customFormat="false" ht="15.75" hidden="false" customHeight="false" outlineLevel="0" collapsed="false">
      <c r="A13" s="2" t="s">
        <v>43</v>
      </c>
      <c r="B13" s="3"/>
      <c r="C13" s="3"/>
      <c r="D13" s="3"/>
      <c r="E13" s="3" t="s">
        <v>36</v>
      </c>
      <c r="F13" s="3" t="s">
        <v>24</v>
      </c>
      <c r="G13" s="3" t="s">
        <v>14</v>
      </c>
      <c r="H13" s="3" t="s">
        <v>15</v>
      </c>
      <c r="I13" s="3" t="s">
        <v>16</v>
      </c>
      <c r="J13" s="6" t="s">
        <v>44</v>
      </c>
    </row>
    <row r="14" customFormat="false" ht="15.75" hidden="false" customHeight="false" outlineLevel="0" collapsed="false">
      <c r="A14" s="2" t="s">
        <v>45</v>
      </c>
      <c r="B14" s="3"/>
      <c r="C14" s="3"/>
      <c r="D14" s="3"/>
      <c r="E14" s="3" t="s">
        <v>36</v>
      </c>
      <c r="F14" s="3" t="s">
        <v>24</v>
      </c>
      <c r="G14" s="3" t="s">
        <v>14</v>
      </c>
      <c r="H14" s="3" t="s">
        <v>15</v>
      </c>
      <c r="I14" s="3" t="s">
        <v>16</v>
      </c>
    </row>
    <row r="15" customFormat="false" ht="15.75" hidden="false" customHeight="false" outlineLevel="0" collapsed="false">
      <c r="A15" s="2" t="s">
        <v>46</v>
      </c>
      <c r="B15" s="3"/>
      <c r="C15" s="3"/>
      <c r="D15" s="3"/>
      <c r="E15" s="3" t="s">
        <v>36</v>
      </c>
      <c r="F15" s="3" t="s">
        <v>24</v>
      </c>
      <c r="G15" s="3" t="s">
        <v>14</v>
      </c>
      <c r="H15" s="3" t="s">
        <v>15</v>
      </c>
      <c r="I15" s="3" t="s">
        <v>16</v>
      </c>
    </row>
    <row r="16" customFormat="false" ht="15.75" hidden="false" customHeight="false" outlineLevel="0" collapsed="false">
      <c r="A16" s="2" t="s">
        <v>47</v>
      </c>
      <c r="B16" s="3"/>
      <c r="C16" s="3"/>
      <c r="D16" s="3"/>
      <c r="E16" s="3"/>
      <c r="F16" s="3" t="s">
        <v>24</v>
      </c>
      <c r="G16" s="3" t="s">
        <v>48</v>
      </c>
      <c r="H16" s="3" t="s">
        <v>15</v>
      </c>
      <c r="I16" s="3" t="s">
        <v>16</v>
      </c>
    </row>
    <row r="17" customFormat="false" ht="15.75" hidden="false" customHeight="false" outlineLevel="0" collapsed="false">
      <c r="A17" s="2" t="s">
        <v>49</v>
      </c>
      <c r="B17" s="3"/>
      <c r="C17" s="3"/>
      <c r="D17" s="3"/>
      <c r="E17" s="3" t="s">
        <v>36</v>
      </c>
      <c r="F17" s="3" t="s">
        <v>24</v>
      </c>
      <c r="G17" s="3" t="s">
        <v>14</v>
      </c>
      <c r="H17" s="3" t="s">
        <v>15</v>
      </c>
      <c r="I17" s="3" t="s">
        <v>16</v>
      </c>
    </row>
    <row r="18" customFormat="false" ht="15.75" hidden="false" customHeight="false" outlineLevel="0" collapsed="false">
      <c r="A18" s="2" t="s">
        <v>50</v>
      </c>
      <c r="B18" s="3"/>
      <c r="C18" s="3"/>
      <c r="D18" s="3"/>
      <c r="E18" s="3" t="s">
        <v>36</v>
      </c>
      <c r="F18" s="3" t="s">
        <v>24</v>
      </c>
      <c r="G18" s="3" t="s">
        <v>14</v>
      </c>
      <c r="H18" s="3" t="s">
        <v>15</v>
      </c>
      <c r="I18" s="3" t="s">
        <v>16</v>
      </c>
    </row>
    <row r="19" customFormat="false" ht="15.75" hidden="false" customHeight="false" outlineLevel="0" collapsed="false">
      <c r="A19" s="2" t="s">
        <v>51</v>
      </c>
      <c r="B19" s="3"/>
      <c r="C19" s="3"/>
      <c r="D19" s="3"/>
      <c r="E19" s="3" t="s">
        <v>36</v>
      </c>
      <c r="F19" s="3" t="s">
        <v>24</v>
      </c>
      <c r="G19" s="3" t="s">
        <v>14</v>
      </c>
      <c r="H19" s="3" t="s">
        <v>15</v>
      </c>
      <c r="I19" s="3" t="s">
        <v>16</v>
      </c>
    </row>
    <row r="20" customFormat="false" ht="15.75" hidden="false" customHeight="false" outlineLevel="0" collapsed="false">
      <c r="A20" s="2" t="s">
        <v>52</v>
      </c>
      <c r="B20" s="3"/>
      <c r="C20" s="3"/>
      <c r="D20" s="3"/>
      <c r="E20" s="3" t="s">
        <v>36</v>
      </c>
      <c r="F20" s="3" t="s">
        <v>24</v>
      </c>
      <c r="G20" s="3" t="s">
        <v>14</v>
      </c>
      <c r="H20" s="3" t="s">
        <v>15</v>
      </c>
      <c r="I20" s="3" t="s">
        <v>16</v>
      </c>
    </row>
    <row r="21" customFormat="false" ht="15.75" hidden="false" customHeight="false" outlineLevel="0" collapsed="false">
      <c r="A21" s="2" t="s">
        <v>53</v>
      </c>
      <c r="B21" s="3"/>
      <c r="C21" s="3"/>
      <c r="D21" s="3"/>
      <c r="E21" s="3" t="s">
        <v>36</v>
      </c>
      <c r="F21" s="3" t="s">
        <v>24</v>
      </c>
      <c r="G21" s="3" t="s">
        <v>14</v>
      </c>
      <c r="H21" s="3" t="s">
        <v>15</v>
      </c>
      <c r="I21" s="3" t="s">
        <v>16</v>
      </c>
    </row>
    <row r="22" customFormat="false" ht="15.75" hidden="false" customHeight="false" outlineLevel="0" collapsed="false">
      <c r="A22" s="2" t="s">
        <v>54</v>
      </c>
      <c r="B22" s="3"/>
      <c r="C22" s="3"/>
      <c r="D22" s="3"/>
      <c r="E22" s="3" t="s">
        <v>55</v>
      </c>
      <c r="F22" s="3" t="s">
        <v>56</v>
      </c>
      <c r="G22" s="3" t="s">
        <v>14</v>
      </c>
      <c r="H22" s="3" t="s">
        <v>15</v>
      </c>
      <c r="I22" s="3" t="s">
        <v>16</v>
      </c>
    </row>
    <row r="23" customFormat="false" ht="15.75" hidden="false" customHeight="false" outlineLevel="0" collapsed="false">
      <c r="A23" s="2" t="s">
        <v>57</v>
      </c>
      <c r="B23" s="3"/>
      <c r="C23" s="3"/>
      <c r="D23" s="3"/>
      <c r="E23" s="3" t="s">
        <v>58</v>
      </c>
      <c r="F23" s="3" t="s">
        <v>24</v>
      </c>
      <c r="G23" s="3" t="s">
        <v>14</v>
      </c>
      <c r="H23" s="3" t="s">
        <v>15</v>
      </c>
      <c r="I23" s="3" t="s">
        <v>16</v>
      </c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</row>
    <row r="152" customFormat="false" ht="15.75" hidden="false" customHeight="false" outlineLevel="0" collapsed="false">
      <c r="B152" s="7"/>
      <c r="C152" s="7"/>
      <c r="D152" s="7"/>
      <c r="E152" s="7"/>
      <c r="F152" s="7"/>
      <c r="G152" s="7"/>
      <c r="H152" s="7"/>
      <c r="I152" s="7"/>
    </row>
    <row r="153" customFormat="false" ht="15.75" hidden="false" customHeight="false" outlineLevel="0" collapsed="false">
      <c r="B153" s="7"/>
      <c r="C153" s="7"/>
      <c r="D153" s="7"/>
      <c r="E153" s="7"/>
      <c r="F153" s="7"/>
      <c r="G153" s="7"/>
      <c r="H153" s="7"/>
      <c r="I153" s="7"/>
    </row>
    <row r="154" customFormat="false" ht="15.75" hidden="false" customHeight="false" outlineLevel="0" collapsed="false">
      <c r="B154" s="7"/>
      <c r="C154" s="7"/>
      <c r="D154" s="7"/>
      <c r="E154" s="7"/>
      <c r="F154" s="7"/>
      <c r="G154" s="7"/>
      <c r="H154" s="7"/>
      <c r="I154" s="7"/>
    </row>
    <row r="155" customFormat="false" ht="15.75" hidden="false" customHeight="false" outlineLevel="0" collapsed="false">
      <c r="B155" s="7"/>
      <c r="C155" s="7"/>
      <c r="D155" s="7"/>
      <c r="E155" s="7"/>
      <c r="F155" s="7"/>
      <c r="G155" s="7"/>
      <c r="H155" s="7"/>
      <c r="I155" s="7"/>
    </row>
    <row r="156" customFormat="false" ht="15.75" hidden="false" customHeight="false" outlineLevel="0" collapsed="false">
      <c r="B156" s="7"/>
      <c r="C156" s="7"/>
      <c r="D156" s="7"/>
      <c r="E156" s="7"/>
      <c r="F156" s="7"/>
      <c r="G156" s="7"/>
      <c r="H156" s="7"/>
      <c r="I156" s="7"/>
    </row>
    <row r="157" customFormat="false" ht="15.75" hidden="false" customHeight="false" outlineLevel="0" collapsed="false">
      <c r="B157" s="7"/>
      <c r="C157" s="7"/>
      <c r="D157" s="7"/>
      <c r="E157" s="7"/>
      <c r="F157" s="7"/>
      <c r="G157" s="7"/>
      <c r="H157" s="7"/>
      <c r="I157" s="7"/>
    </row>
    <row r="158" customFormat="false" ht="15.75" hidden="false" customHeight="false" outlineLevel="0" collapsed="false">
      <c r="B158" s="7"/>
      <c r="C158" s="7"/>
      <c r="D158" s="7"/>
      <c r="E158" s="7"/>
      <c r="F158" s="7"/>
      <c r="G158" s="7"/>
      <c r="H158" s="7"/>
      <c r="I158" s="7"/>
    </row>
    <row r="159" customFormat="false" ht="15.75" hidden="false" customHeight="false" outlineLevel="0" collapsed="false">
      <c r="B159" s="7"/>
      <c r="C159" s="7"/>
      <c r="D159" s="7"/>
      <c r="E159" s="7"/>
      <c r="F159" s="7"/>
      <c r="G159" s="7"/>
      <c r="H159" s="7"/>
      <c r="I159" s="7"/>
    </row>
    <row r="160" customFormat="false" ht="15.75" hidden="false" customHeight="false" outlineLevel="0" collapsed="false">
      <c r="B160" s="7"/>
      <c r="C160" s="7"/>
      <c r="D160" s="7"/>
      <c r="E160" s="7"/>
      <c r="F160" s="7"/>
      <c r="G160" s="7"/>
      <c r="H160" s="7"/>
      <c r="I160" s="7"/>
    </row>
    <row r="161" customFormat="false" ht="15.75" hidden="false" customHeight="false" outlineLevel="0" collapsed="false">
      <c r="B161" s="7"/>
      <c r="C161" s="7"/>
      <c r="D161" s="7"/>
      <c r="E161" s="7"/>
      <c r="F161" s="7"/>
      <c r="G161" s="7"/>
      <c r="H161" s="7"/>
      <c r="I161" s="7"/>
    </row>
    <row r="162" customFormat="false" ht="15.75" hidden="false" customHeight="false" outlineLevel="0" collapsed="false">
      <c r="B162" s="7"/>
      <c r="C162" s="7"/>
      <c r="D162" s="7"/>
      <c r="E162" s="7"/>
      <c r="F162" s="7"/>
      <c r="G162" s="7"/>
      <c r="H162" s="7"/>
      <c r="I162" s="7"/>
    </row>
    <row r="163" customFormat="false" ht="15.75" hidden="false" customHeight="false" outlineLevel="0" collapsed="false">
      <c r="B163" s="7"/>
      <c r="C163" s="7"/>
      <c r="D163" s="7"/>
      <c r="E163" s="7"/>
      <c r="F163" s="7"/>
      <c r="G163" s="7"/>
      <c r="H163" s="7"/>
      <c r="I163" s="7"/>
    </row>
    <row r="164" customFormat="false" ht="15.75" hidden="false" customHeight="false" outlineLevel="0" collapsed="false">
      <c r="B164" s="7"/>
      <c r="C164" s="7"/>
      <c r="D164" s="7"/>
      <c r="E164" s="7"/>
      <c r="F164" s="7"/>
      <c r="G164" s="7"/>
      <c r="H164" s="7"/>
      <c r="I164" s="7"/>
    </row>
    <row r="165" customFormat="false" ht="15.75" hidden="false" customHeight="false" outlineLevel="0" collapsed="false">
      <c r="B165" s="7"/>
      <c r="C165" s="7"/>
      <c r="D165" s="7"/>
      <c r="E165" s="7"/>
      <c r="F165" s="7"/>
      <c r="G165" s="7"/>
      <c r="H165" s="7"/>
      <c r="I165" s="7"/>
    </row>
    <row r="166" customFormat="false" ht="15.75" hidden="false" customHeight="false" outlineLevel="0" collapsed="false">
      <c r="B166" s="7"/>
      <c r="C166" s="7"/>
      <c r="D166" s="7"/>
      <c r="E166" s="7"/>
      <c r="F166" s="7"/>
      <c r="G166" s="7"/>
      <c r="H166" s="7"/>
      <c r="I166" s="7"/>
    </row>
    <row r="167" customFormat="false" ht="15.75" hidden="false" customHeight="false" outlineLevel="0" collapsed="false">
      <c r="B167" s="7"/>
      <c r="C167" s="7"/>
      <c r="D167" s="7"/>
      <c r="E167" s="7"/>
      <c r="F167" s="7"/>
      <c r="G167" s="7"/>
      <c r="H167" s="7"/>
      <c r="I167" s="7"/>
    </row>
    <row r="168" customFormat="false" ht="15.75" hidden="false" customHeight="false" outlineLevel="0" collapsed="false">
      <c r="B168" s="7"/>
      <c r="C168" s="7"/>
      <c r="D168" s="7"/>
      <c r="E168" s="7"/>
      <c r="F168" s="7"/>
      <c r="G168" s="7"/>
      <c r="H168" s="7"/>
      <c r="I168" s="7"/>
    </row>
    <row r="169" customFormat="false" ht="15.75" hidden="false" customHeight="false" outlineLevel="0" collapsed="false">
      <c r="B169" s="7"/>
      <c r="C169" s="7"/>
      <c r="D169" s="7"/>
      <c r="E169" s="7"/>
      <c r="F169" s="7"/>
      <c r="G169" s="7"/>
      <c r="H169" s="7"/>
      <c r="I169" s="7"/>
    </row>
    <row r="170" customFormat="false" ht="15.75" hidden="false" customHeight="false" outlineLevel="0" collapsed="false">
      <c r="B170" s="7"/>
      <c r="C170" s="7"/>
      <c r="D170" s="7"/>
      <c r="E170" s="7"/>
      <c r="F170" s="7"/>
      <c r="G170" s="7"/>
      <c r="H170" s="7"/>
      <c r="I170" s="7"/>
    </row>
    <row r="171" customFormat="false" ht="15.75" hidden="false" customHeight="false" outlineLevel="0" collapsed="false">
      <c r="B171" s="7"/>
      <c r="C171" s="7"/>
      <c r="D171" s="7"/>
      <c r="E171" s="7"/>
      <c r="F171" s="7"/>
      <c r="G171" s="7"/>
      <c r="H171" s="7"/>
      <c r="I171" s="7"/>
    </row>
    <row r="172" customFormat="false" ht="15.75" hidden="false" customHeight="false" outlineLevel="0" collapsed="false">
      <c r="B172" s="7"/>
      <c r="C172" s="7"/>
      <c r="D172" s="7"/>
      <c r="E172" s="7"/>
      <c r="F172" s="7"/>
      <c r="G172" s="7"/>
      <c r="H172" s="7"/>
      <c r="I172" s="7"/>
    </row>
    <row r="173" customFormat="false" ht="15.75" hidden="false" customHeight="false" outlineLevel="0" collapsed="false">
      <c r="B173" s="7"/>
      <c r="C173" s="7"/>
      <c r="D173" s="7"/>
      <c r="E173" s="7"/>
      <c r="F173" s="7"/>
      <c r="G173" s="7"/>
      <c r="H173" s="7"/>
      <c r="I173" s="7"/>
    </row>
    <row r="174" customFormat="false" ht="15.75" hidden="false" customHeight="false" outlineLevel="0" collapsed="false">
      <c r="B174" s="7"/>
      <c r="C174" s="7"/>
      <c r="D174" s="7"/>
      <c r="E174" s="7"/>
      <c r="F174" s="7"/>
      <c r="G174" s="7"/>
      <c r="H174" s="7"/>
      <c r="I174" s="7"/>
    </row>
    <row r="175" customFormat="false" ht="15.75" hidden="false" customHeight="false" outlineLevel="0" collapsed="false">
      <c r="B175" s="7"/>
      <c r="C175" s="7"/>
      <c r="D175" s="7"/>
      <c r="E175" s="7"/>
      <c r="F175" s="7"/>
      <c r="G175" s="7"/>
      <c r="H175" s="7"/>
      <c r="I175" s="7"/>
    </row>
    <row r="176" customFormat="false" ht="15.75" hidden="false" customHeight="false" outlineLevel="0" collapsed="false">
      <c r="B176" s="7"/>
      <c r="C176" s="7"/>
      <c r="D176" s="7"/>
      <c r="E176" s="7"/>
      <c r="F176" s="7"/>
      <c r="G176" s="7"/>
      <c r="H176" s="7"/>
      <c r="I176" s="7"/>
    </row>
    <row r="177" customFormat="false" ht="15.75" hidden="false" customHeight="false" outlineLevel="0" collapsed="false">
      <c r="B177" s="7"/>
      <c r="C177" s="7"/>
      <c r="D177" s="7"/>
      <c r="E177" s="7"/>
      <c r="F177" s="7"/>
      <c r="G177" s="7"/>
      <c r="H177" s="7"/>
      <c r="I177" s="7"/>
    </row>
    <row r="178" customFormat="false" ht="15.75" hidden="false" customHeight="false" outlineLevel="0" collapsed="false">
      <c r="B178" s="7"/>
      <c r="C178" s="7"/>
      <c r="D178" s="7"/>
      <c r="E178" s="7"/>
      <c r="F178" s="7"/>
      <c r="G178" s="7"/>
      <c r="H178" s="7"/>
      <c r="I178" s="7"/>
    </row>
    <row r="179" customFormat="false" ht="15.75" hidden="false" customHeight="false" outlineLevel="0" collapsed="false">
      <c r="B179" s="7"/>
      <c r="C179" s="7"/>
      <c r="D179" s="7"/>
      <c r="E179" s="7"/>
      <c r="F179" s="7"/>
      <c r="G179" s="7"/>
      <c r="H179" s="7"/>
      <c r="I179" s="7"/>
    </row>
    <row r="180" customFormat="false" ht="15.75" hidden="false" customHeight="false" outlineLevel="0" collapsed="false">
      <c r="B180" s="7"/>
      <c r="C180" s="7"/>
      <c r="D180" s="7"/>
      <c r="E180" s="7"/>
      <c r="F180" s="7"/>
      <c r="G180" s="7"/>
      <c r="H180" s="7"/>
      <c r="I180" s="7"/>
    </row>
    <row r="181" customFormat="false" ht="15.75" hidden="false" customHeight="false" outlineLevel="0" collapsed="false">
      <c r="B181" s="7"/>
      <c r="C181" s="7"/>
      <c r="D181" s="7"/>
      <c r="E181" s="7"/>
      <c r="F181" s="7"/>
      <c r="G181" s="7"/>
      <c r="H181" s="7"/>
      <c r="I181" s="7"/>
    </row>
    <row r="182" customFormat="false" ht="15.75" hidden="false" customHeight="false" outlineLevel="0" collapsed="false">
      <c r="B182" s="7"/>
      <c r="C182" s="7"/>
      <c r="D182" s="7"/>
      <c r="E182" s="7"/>
      <c r="F182" s="7"/>
      <c r="G182" s="7"/>
      <c r="H182" s="7"/>
      <c r="I182" s="7"/>
    </row>
    <row r="183" customFormat="false" ht="15.75" hidden="false" customHeight="false" outlineLevel="0" collapsed="false">
      <c r="B183" s="7"/>
      <c r="C183" s="7"/>
      <c r="D183" s="7"/>
      <c r="E183" s="7"/>
      <c r="F183" s="7"/>
      <c r="G183" s="7"/>
      <c r="H183" s="7"/>
      <c r="I183" s="7"/>
    </row>
    <row r="184" customFormat="false" ht="15.75" hidden="false" customHeight="false" outlineLevel="0" collapsed="false">
      <c r="B184" s="7"/>
      <c r="C184" s="7"/>
      <c r="D184" s="7"/>
      <c r="E184" s="7"/>
      <c r="F184" s="7"/>
      <c r="G184" s="7"/>
      <c r="H184" s="7"/>
      <c r="I184" s="7"/>
    </row>
    <row r="185" customFormat="false" ht="15.75" hidden="false" customHeight="false" outlineLevel="0" collapsed="false">
      <c r="B185" s="7"/>
      <c r="C185" s="7"/>
      <c r="D185" s="7"/>
      <c r="E185" s="7"/>
      <c r="F185" s="7"/>
      <c r="G185" s="7"/>
      <c r="H185" s="7"/>
      <c r="I185" s="7"/>
    </row>
    <row r="186" customFormat="false" ht="15.75" hidden="false" customHeight="false" outlineLevel="0" collapsed="false">
      <c r="B186" s="7"/>
      <c r="C186" s="7"/>
      <c r="D186" s="7"/>
      <c r="E186" s="7"/>
      <c r="F186" s="7"/>
      <c r="G186" s="7"/>
      <c r="H186" s="7"/>
      <c r="I186" s="7"/>
    </row>
    <row r="187" customFormat="false" ht="15.75" hidden="false" customHeight="false" outlineLevel="0" collapsed="false">
      <c r="B187" s="7"/>
      <c r="C187" s="7"/>
      <c r="D187" s="7"/>
      <c r="E187" s="7"/>
      <c r="F187" s="7"/>
      <c r="G187" s="7"/>
      <c r="H187" s="7"/>
      <c r="I187" s="7"/>
    </row>
    <row r="188" customFormat="false" ht="15.75" hidden="false" customHeight="false" outlineLevel="0" collapsed="false">
      <c r="B188" s="7"/>
      <c r="C188" s="7"/>
      <c r="D188" s="7"/>
      <c r="E188" s="7"/>
      <c r="F188" s="7"/>
      <c r="G188" s="7"/>
      <c r="H188" s="7"/>
      <c r="I188" s="7"/>
    </row>
    <row r="189" customFormat="false" ht="15.75" hidden="false" customHeight="false" outlineLevel="0" collapsed="false">
      <c r="B189" s="7"/>
      <c r="C189" s="7"/>
      <c r="D189" s="7"/>
      <c r="E189" s="7"/>
      <c r="F189" s="7"/>
      <c r="G189" s="7"/>
      <c r="H189" s="7"/>
      <c r="I189" s="7"/>
    </row>
    <row r="190" customFormat="false" ht="15.75" hidden="false" customHeight="false" outlineLevel="0" collapsed="false">
      <c r="B190" s="7"/>
      <c r="C190" s="7"/>
      <c r="D190" s="7"/>
      <c r="E190" s="7"/>
      <c r="F190" s="7"/>
      <c r="G190" s="7"/>
      <c r="H190" s="7"/>
      <c r="I190" s="7"/>
    </row>
    <row r="191" customFormat="false" ht="15.75" hidden="false" customHeight="false" outlineLevel="0" collapsed="false">
      <c r="B191" s="7"/>
      <c r="C191" s="7"/>
      <c r="D191" s="7"/>
      <c r="E191" s="7"/>
      <c r="F191" s="7"/>
      <c r="G191" s="7"/>
      <c r="H191" s="7"/>
      <c r="I191" s="7"/>
    </row>
    <row r="192" customFormat="false" ht="15.75" hidden="false" customHeight="false" outlineLevel="0" collapsed="false">
      <c r="B192" s="7"/>
      <c r="C192" s="7"/>
      <c r="D192" s="7"/>
      <c r="E192" s="7"/>
      <c r="F192" s="7"/>
      <c r="G192" s="7"/>
      <c r="H192" s="7"/>
      <c r="I192" s="7"/>
    </row>
    <row r="193" customFormat="false" ht="15.75" hidden="false" customHeight="false" outlineLevel="0" collapsed="false">
      <c r="B193" s="7"/>
      <c r="C193" s="7"/>
      <c r="D193" s="7"/>
      <c r="E193" s="7"/>
      <c r="F193" s="7"/>
      <c r="G193" s="7"/>
      <c r="H193" s="7"/>
      <c r="I193" s="7"/>
    </row>
    <row r="194" customFormat="false" ht="15.75" hidden="false" customHeight="false" outlineLevel="0" collapsed="false">
      <c r="B194" s="7"/>
      <c r="C194" s="7"/>
      <c r="D194" s="7"/>
      <c r="E194" s="7"/>
      <c r="F194" s="7"/>
      <c r="G194" s="7"/>
      <c r="H194" s="7"/>
      <c r="I194" s="7"/>
    </row>
    <row r="195" customFormat="false" ht="15.75" hidden="false" customHeight="false" outlineLevel="0" collapsed="false">
      <c r="B195" s="7"/>
      <c r="C195" s="7"/>
      <c r="D195" s="7"/>
      <c r="E195" s="7"/>
      <c r="F195" s="7"/>
      <c r="G195" s="7"/>
      <c r="H195" s="7"/>
      <c r="I195" s="7"/>
    </row>
    <row r="196" customFormat="false" ht="15.75" hidden="false" customHeight="false" outlineLevel="0" collapsed="false">
      <c r="B196" s="7"/>
      <c r="C196" s="7"/>
      <c r="D196" s="7"/>
      <c r="E196" s="7"/>
      <c r="F196" s="7"/>
      <c r="G196" s="7"/>
      <c r="H196" s="7"/>
      <c r="I196" s="7"/>
    </row>
    <row r="197" customFormat="false" ht="15.75" hidden="false" customHeight="false" outlineLevel="0" collapsed="false">
      <c r="B197" s="7"/>
      <c r="C197" s="7"/>
      <c r="D197" s="7"/>
      <c r="E197" s="7"/>
      <c r="F197" s="7"/>
      <c r="G197" s="7"/>
      <c r="H197" s="7"/>
      <c r="I197" s="7"/>
    </row>
    <row r="198" customFormat="false" ht="15.75" hidden="false" customHeight="false" outlineLevel="0" collapsed="false">
      <c r="B198" s="7"/>
      <c r="C198" s="7"/>
      <c r="D198" s="7"/>
      <c r="E198" s="7"/>
      <c r="F198" s="7"/>
      <c r="G198" s="7"/>
      <c r="H198" s="7"/>
      <c r="I198" s="7"/>
    </row>
    <row r="199" customFormat="false" ht="15.75" hidden="false" customHeight="false" outlineLevel="0" collapsed="false">
      <c r="B199" s="7"/>
      <c r="C199" s="7"/>
      <c r="D199" s="7"/>
      <c r="E199" s="7"/>
      <c r="F199" s="7"/>
      <c r="G199" s="7"/>
      <c r="H199" s="7"/>
      <c r="I199" s="7"/>
    </row>
    <row r="200" customFormat="false" ht="15.75" hidden="false" customHeight="false" outlineLevel="0" collapsed="false">
      <c r="B200" s="7"/>
      <c r="C200" s="7"/>
      <c r="D200" s="7"/>
      <c r="E200" s="7"/>
      <c r="F200" s="7"/>
      <c r="G200" s="7"/>
      <c r="H200" s="7"/>
      <c r="I200" s="7"/>
    </row>
    <row r="201" customFormat="false" ht="15.75" hidden="false" customHeight="false" outlineLevel="0" collapsed="false">
      <c r="B201" s="7"/>
      <c r="C201" s="7"/>
      <c r="D201" s="7"/>
      <c r="E201" s="7"/>
      <c r="F201" s="7"/>
      <c r="G201" s="7"/>
      <c r="H201" s="7"/>
      <c r="I201" s="7"/>
    </row>
    <row r="202" customFormat="false" ht="15.75" hidden="false" customHeight="false" outlineLevel="0" collapsed="false">
      <c r="B202" s="7"/>
      <c r="C202" s="7"/>
      <c r="D202" s="7"/>
      <c r="E202" s="7"/>
      <c r="F202" s="7"/>
      <c r="G202" s="7"/>
      <c r="H202" s="7"/>
      <c r="I202" s="7"/>
    </row>
    <row r="203" customFormat="false" ht="15.75" hidden="false" customHeight="false" outlineLevel="0" collapsed="false">
      <c r="B203" s="7"/>
      <c r="C203" s="7"/>
      <c r="D203" s="7"/>
      <c r="E203" s="7"/>
      <c r="F203" s="7"/>
      <c r="G203" s="7"/>
      <c r="H203" s="7"/>
      <c r="I203" s="7"/>
    </row>
    <row r="204" customFormat="false" ht="15.75" hidden="false" customHeight="false" outlineLevel="0" collapsed="false">
      <c r="B204" s="7"/>
      <c r="C204" s="7"/>
      <c r="D204" s="7"/>
      <c r="E204" s="7"/>
      <c r="F204" s="7"/>
      <c r="G204" s="7"/>
      <c r="H204" s="7"/>
      <c r="I204" s="7"/>
    </row>
    <row r="205" customFormat="false" ht="15.75" hidden="false" customHeight="false" outlineLevel="0" collapsed="false">
      <c r="B205" s="7"/>
      <c r="C205" s="7"/>
      <c r="D205" s="7"/>
      <c r="E205" s="7"/>
      <c r="F205" s="7"/>
      <c r="G205" s="7"/>
      <c r="H205" s="7"/>
      <c r="I205" s="7"/>
    </row>
    <row r="206" customFormat="false" ht="15.75" hidden="false" customHeight="false" outlineLevel="0" collapsed="false">
      <c r="B206" s="7"/>
      <c r="C206" s="7"/>
      <c r="D206" s="7"/>
      <c r="E206" s="7"/>
      <c r="F206" s="7"/>
      <c r="G206" s="7"/>
      <c r="H206" s="7"/>
      <c r="I206" s="7"/>
    </row>
    <row r="207" customFormat="false" ht="15.75" hidden="false" customHeight="false" outlineLevel="0" collapsed="false">
      <c r="B207" s="7"/>
      <c r="C207" s="7"/>
      <c r="D207" s="7"/>
      <c r="E207" s="7"/>
      <c r="F207" s="7"/>
      <c r="G207" s="7"/>
      <c r="H207" s="7"/>
      <c r="I207" s="7"/>
    </row>
    <row r="208" customFormat="false" ht="15.75" hidden="false" customHeight="false" outlineLevel="0" collapsed="false">
      <c r="B208" s="7"/>
      <c r="C208" s="7"/>
      <c r="D208" s="7"/>
      <c r="E208" s="7"/>
      <c r="F208" s="7"/>
      <c r="G208" s="7"/>
      <c r="H208" s="7"/>
      <c r="I208" s="7"/>
    </row>
    <row r="209" customFormat="false" ht="15.75" hidden="false" customHeight="false" outlineLevel="0" collapsed="false">
      <c r="B209" s="7"/>
      <c r="C209" s="7"/>
      <c r="D209" s="7"/>
      <c r="E209" s="7"/>
      <c r="F209" s="7"/>
      <c r="G209" s="7"/>
      <c r="H209" s="7"/>
      <c r="I209" s="7"/>
    </row>
    <row r="210" customFormat="false" ht="15.75" hidden="false" customHeight="false" outlineLevel="0" collapsed="false">
      <c r="B210" s="7"/>
      <c r="C210" s="7"/>
      <c r="D210" s="7"/>
      <c r="E210" s="7"/>
      <c r="F210" s="7"/>
      <c r="G210" s="7"/>
      <c r="H210" s="7"/>
      <c r="I210" s="7"/>
    </row>
    <row r="211" customFormat="false" ht="15.75" hidden="false" customHeight="false" outlineLevel="0" collapsed="false">
      <c r="B211" s="7"/>
      <c r="C211" s="7"/>
      <c r="D211" s="7"/>
      <c r="E211" s="7"/>
      <c r="F211" s="7"/>
      <c r="G211" s="7"/>
      <c r="H211" s="7"/>
      <c r="I211" s="7"/>
    </row>
    <row r="212" customFormat="false" ht="15.75" hidden="false" customHeight="false" outlineLevel="0" collapsed="false">
      <c r="B212" s="7"/>
      <c r="C212" s="7"/>
      <c r="D212" s="7"/>
      <c r="E212" s="7"/>
      <c r="F212" s="7"/>
      <c r="G212" s="7"/>
      <c r="H212" s="7"/>
      <c r="I212" s="7"/>
    </row>
    <row r="213" customFormat="false" ht="15.75" hidden="false" customHeight="false" outlineLevel="0" collapsed="false">
      <c r="B213" s="7"/>
      <c r="C213" s="7"/>
      <c r="D213" s="7"/>
      <c r="E213" s="7"/>
      <c r="F213" s="7"/>
      <c r="G213" s="7"/>
      <c r="H213" s="7"/>
      <c r="I213" s="7"/>
    </row>
    <row r="214" customFormat="false" ht="15.75" hidden="false" customHeight="false" outlineLevel="0" collapsed="false">
      <c r="B214" s="7"/>
      <c r="C214" s="7"/>
      <c r="D214" s="7"/>
      <c r="E214" s="7"/>
      <c r="F214" s="7"/>
      <c r="G214" s="7"/>
      <c r="H214" s="7"/>
      <c r="I214" s="7"/>
    </row>
    <row r="215" customFormat="false" ht="15.75" hidden="false" customHeight="false" outlineLevel="0" collapsed="false">
      <c r="B215" s="7"/>
      <c r="C215" s="7"/>
      <c r="D215" s="7"/>
      <c r="E215" s="7"/>
      <c r="F215" s="7"/>
      <c r="G215" s="7"/>
      <c r="H215" s="7"/>
      <c r="I215" s="7"/>
    </row>
    <row r="216" customFormat="false" ht="15.75" hidden="false" customHeight="false" outlineLevel="0" collapsed="false">
      <c r="B216" s="7"/>
      <c r="C216" s="7"/>
      <c r="D216" s="7"/>
      <c r="E216" s="7"/>
      <c r="F216" s="7"/>
      <c r="G216" s="7"/>
      <c r="H216" s="7"/>
      <c r="I216" s="7"/>
    </row>
    <row r="217" customFormat="false" ht="15.75" hidden="false" customHeight="false" outlineLevel="0" collapsed="false">
      <c r="B217" s="7"/>
      <c r="C217" s="7"/>
      <c r="D217" s="7"/>
      <c r="E217" s="7"/>
      <c r="F217" s="7"/>
      <c r="G217" s="7"/>
      <c r="H217" s="7"/>
      <c r="I217" s="7"/>
    </row>
    <row r="218" customFormat="false" ht="15.75" hidden="false" customHeight="false" outlineLevel="0" collapsed="false">
      <c r="B218" s="7"/>
      <c r="C218" s="7"/>
      <c r="D218" s="7"/>
      <c r="E218" s="7"/>
      <c r="F218" s="7"/>
      <c r="G218" s="7"/>
      <c r="H218" s="7"/>
      <c r="I218" s="7"/>
    </row>
    <row r="219" customFormat="false" ht="15.75" hidden="false" customHeight="false" outlineLevel="0" collapsed="false">
      <c r="B219" s="7"/>
      <c r="C219" s="7"/>
      <c r="D219" s="7"/>
      <c r="E219" s="7"/>
      <c r="F219" s="7"/>
      <c r="G219" s="7"/>
      <c r="H219" s="7"/>
      <c r="I219" s="7"/>
    </row>
    <row r="220" customFormat="false" ht="15.75" hidden="false" customHeight="false" outlineLevel="0" collapsed="false">
      <c r="B220" s="7"/>
      <c r="C220" s="7"/>
      <c r="D220" s="7"/>
      <c r="E220" s="7"/>
      <c r="F220" s="7"/>
      <c r="G220" s="7"/>
      <c r="H220" s="7"/>
      <c r="I220" s="7"/>
    </row>
    <row r="221" customFormat="false" ht="15.75" hidden="false" customHeight="false" outlineLevel="0" collapsed="false">
      <c r="B221" s="7"/>
      <c r="C221" s="7"/>
      <c r="D221" s="7"/>
      <c r="E221" s="7"/>
      <c r="F221" s="7"/>
      <c r="G221" s="7"/>
      <c r="H221" s="7"/>
      <c r="I221" s="7"/>
    </row>
    <row r="222" customFormat="false" ht="15.75" hidden="false" customHeight="false" outlineLevel="0" collapsed="false">
      <c r="B222" s="7"/>
      <c r="C222" s="7"/>
      <c r="D222" s="7"/>
      <c r="E222" s="7"/>
      <c r="F222" s="7"/>
      <c r="G222" s="7"/>
      <c r="H222" s="7"/>
      <c r="I222" s="7"/>
    </row>
    <row r="223" customFormat="false" ht="15.75" hidden="false" customHeight="false" outlineLevel="0" collapsed="false">
      <c r="B223" s="7"/>
      <c r="C223" s="7"/>
      <c r="D223" s="7"/>
      <c r="E223" s="7"/>
      <c r="F223" s="7"/>
      <c r="G223" s="7"/>
      <c r="H223" s="7"/>
      <c r="I223" s="7"/>
    </row>
    <row r="224" customFormat="false" ht="15.75" hidden="false" customHeight="false" outlineLevel="0" collapsed="false">
      <c r="B224" s="7"/>
      <c r="C224" s="7"/>
      <c r="D224" s="7"/>
      <c r="E224" s="7"/>
      <c r="F224" s="7"/>
      <c r="G224" s="7"/>
      <c r="H224" s="7"/>
      <c r="I224" s="7"/>
    </row>
    <row r="225" customFormat="false" ht="15.75" hidden="false" customHeight="false" outlineLevel="0" collapsed="false">
      <c r="B225" s="7"/>
      <c r="C225" s="7"/>
      <c r="D225" s="7"/>
      <c r="E225" s="7"/>
      <c r="F225" s="7"/>
      <c r="G225" s="7"/>
      <c r="H225" s="7"/>
      <c r="I225" s="7"/>
    </row>
    <row r="226" customFormat="false" ht="15.75" hidden="false" customHeight="false" outlineLevel="0" collapsed="false">
      <c r="B226" s="7"/>
      <c r="C226" s="7"/>
      <c r="D226" s="7"/>
      <c r="E226" s="7"/>
      <c r="F226" s="7"/>
      <c r="G226" s="7"/>
      <c r="H226" s="7"/>
      <c r="I226" s="7"/>
    </row>
    <row r="227" customFormat="false" ht="15.75" hidden="false" customHeight="false" outlineLevel="0" collapsed="false">
      <c r="B227" s="7"/>
      <c r="C227" s="7"/>
      <c r="D227" s="7"/>
      <c r="E227" s="7"/>
      <c r="F227" s="7"/>
      <c r="G227" s="7"/>
      <c r="H227" s="7"/>
      <c r="I227" s="7"/>
    </row>
    <row r="228" customFormat="false" ht="15.75" hidden="false" customHeight="false" outlineLevel="0" collapsed="false">
      <c r="B228" s="7"/>
      <c r="C228" s="7"/>
      <c r="D228" s="7"/>
      <c r="E228" s="7"/>
      <c r="F228" s="7"/>
      <c r="G228" s="7"/>
      <c r="H228" s="7"/>
      <c r="I228" s="7"/>
    </row>
    <row r="229" customFormat="false" ht="15.75" hidden="false" customHeight="false" outlineLevel="0" collapsed="false">
      <c r="B229" s="7"/>
      <c r="C229" s="7"/>
      <c r="D229" s="7"/>
      <c r="E229" s="7"/>
      <c r="F229" s="7"/>
      <c r="G229" s="7"/>
      <c r="H229" s="7"/>
      <c r="I229" s="7"/>
    </row>
    <row r="230" customFormat="false" ht="15.75" hidden="false" customHeight="false" outlineLevel="0" collapsed="false">
      <c r="B230" s="7"/>
      <c r="C230" s="7"/>
      <c r="D230" s="7"/>
      <c r="E230" s="7"/>
      <c r="F230" s="7"/>
      <c r="G230" s="7"/>
      <c r="H230" s="7"/>
      <c r="I230" s="7"/>
    </row>
    <row r="231" customFormat="false" ht="15.75" hidden="false" customHeight="false" outlineLevel="0" collapsed="false">
      <c r="B231" s="7"/>
      <c r="C231" s="7"/>
      <c r="D231" s="7"/>
      <c r="E231" s="7"/>
      <c r="F231" s="7"/>
      <c r="G231" s="7"/>
      <c r="H231" s="7"/>
      <c r="I231" s="7"/>
    </row>
    <row r="232" customFormat="false" ht="15.75" hidden="false" customHeight="false" outlineLevel="0" collapsed="false">
      <c r="B232" s="7"/>
      <c r="C232" s="7"/>
      <c r="D232" s="7"/>
      <c r="E232" s="7"/>
      <c r="F232" s="7"/>
      <c r="G232" s="7"/>
      <c r="H232" s="7"/>
      <c r="I232" s="7"/>
    </row>
    <row r="233" customFormat="false" ht="15.75" hidden="false" customHeight="false" outlineLevel="0" collapsed="false">
      <c r="B233" s="7"/>
      <c r="C233" s="7"/>
      <c r="D233" s="7"/>
      <c r="E233" s="7"/>
      <c r="F233" s="7"/>
      <c r="G233" s="7"/>
      <c r="H233" s="7"/>
      <c r="I233" s="7"/>
    </row>
    <row r="234" customFormat="false" ht="15.75" hidden="false" customHeight="false" outlineLevel="0" collapsed="false">
      <c r="B234" s="7"/>
      <c r="C234" s="7"/>
      <c r="D234" s="7"/>
      <c r="E234" s="7"/>
      <c r="F234" s="7"/>
      <c r="G234" s="7"/>
      <c r="H234" s="7"/>
      <c r="I234" s="7"/>
    </row>
    <row r="235" customFormat="false" ht="15.75" hidden="false" customHeight="false" outlineLevel="0" collapsed="false">
      <c r="B235" s="7"/>
      <c r="C235" s="7"/>
      <c r="D235" s="7"/>
      <c r="E235" s="7"/>
      <c r="F235" s="7"/>
      <c r="G235" s="7"/>
      <c r="H235" s="7"/>
      <c r="I235" s="7"/>
    </row>
    <row r="236" customFormat="false" ht="15.75" hidden="false" customHeight="false" outlineLevel="0" collapsed="false">
      <c r="B236" s="7"/>
      <c r="C236" s="7"/>
      <c r="D236" s="7"/>
      <c r="E236" s="7"/>
      <c r="F236" s="7"/>
      <c r="G236" s="7"/>
      <c r="H236" s="7"/>
      <c r="I236" s="7"/>
    </row>
    <row r="237" customFormat="false" ht="15.75" hidden="false" customHeight="false" outlineLevel="0" collapsed="false">
      <c r="B237" s="7"/>
      <c r="C237" s="7"/>
      <c r="D237" s="7"/>
      <c r="E237" s="7"/>
      <c r="F237" s="7"/>
      <c r="G237" s="7"/>
      <c r="H237" s="7"/>
      <c r="I237" s="7"/>
    </row>
    <row r="238" customFormat="false" ht="15.75" hidden="false" customHeight="false" outlineLevel="0" collapsed="false">
      <c r="B238" s="7"/>
      <c r="C238" s="7"/>
      <c r="D238" s="7"/>
      <c r="E238" s="7"/>
      <c r="F238" s="7"/>
      <c r="G238" s="7"/>
      <c r="H238" s="7"/>
      <c r="I238" s="7"/>
    </row>
    <row r="239" customFormat="false" ht="15.75" hidden="false" customHeight="false" outlineLevel="0" collapsed="false">
      <c r="B239" s="7"/>
      <c r="C239" s="7"/>
      <c r="D239" s="7"/>
      <c r="E239" s="7"/>
      <c r="F239" s="7"/>
      <c r="G239" s="7"/>
      <c r="H239" s="7"/>
      <c r="I239" s="7"/>
    </row>
    <row r="240" customFormat="false" ht="15.75" hidden="false" customHeight="false" outlineLevel="0" collapsed="false">
      <c r="B240" s="7"/>
      <c r="C240" s="7"/>
      <c r="D240" s="7"/>
      <c r="E240" s="7"/>
      <c r="F240" s="7"/>
      <c r="G240" s="7"/>
      <c r="H240" s="7"/>
      <c r="I240" s="7"/>
    </row>
    <row r="241" customFormat="false" ht="15.75" hidden="false" customHeight="false" outlineLevel="0" collapsed="false">
      <c r="B241" s="7"/>
      <c r="C241" s="7"/>
      <c r="D241" s="7"/>
      <c r="E241" s="7"/>
      <c r="F241" s="7"/>
      <c r="G241" s="7"/>
      <c r="H241" s="7"/>
      <c r="I241" s="7"/>
    </row>
    <row r="242" customFormat="false" ht="15.75" hidden="false" customHeight="false" outlineLevel="0" collapsed="false">
      <c r="B242" s="7"/>
      <c r="C242" s="7"/>
      <c r="D242" s="7"/>
      <c r="E242" s="7"/>
      <c r="F242" s="7"/>
      <c r="G242" s="7"/>
      <c r="H242" s="7"/>
      <c r="I242" s="7"/>
    </row>
    <row r="243" customFormat="false" ht="15.75" hidden="false" customHeight="false" outlineLevel="0" collapsed="false">
      <c r="B243" s="7"/>
      <c r="C243" s="7"/>
      <c r="D243" s="7"/>
      <c r="E243" s="7"/>
      <c r="F243" s="7"/>
      <c r="G243" s="7"/>
      <c r="H243" s="7"/>
      <c r="I243" s="7"/>
    </row>
    <row r="244" customFormat="false" ht="15.75" hidden="false" customHeight="false" outlineLevel="0" collapsed="false">
      <c r="B244" s="7"/>
      <c r="C244" s="7"/>
      <c r="D244" s="7"/>
      <c r="E244" s="7"/>
      <c r="F244" s="7"/>
      <c r="G244" s="7"/>
      <c r="H244" s="7"/>
      <c r="I244" s="7"/>
    </row>
    <row r="245" customFormat="false" ht="15.75" hidden="false" customHeight="false" outlineLevel="0" collapsed="false">
      <c r="B245" s="7"/>
      <c r="C245" s="7"/>
      <c r="D245" s="7"/>
      <c r="E245" s="7"/>
      <c r="F245" s="7"/>
      <c r="G245" s="7"/>
      <c r="H245" s="7"/>
      <c r="I245" s="7"/>
    </row>
    <row r="246" customFormat="false" ht="15.75" hidden="false" customHeight="false" outlineLevel="0" collapsed="false">
      <c r="B246" s="7"/>
      <c r="C246" s="7"/>
      <c r="D246" s="7"/>
      <c r="E246" s="7"/>
      <c r="F246" s="7"/>
      <c r="G246" s="7"/>
      <c r="H246" s="7"/>
      <c r="I246" s="7"/>
    </row>
    <row r="247" customFormat="false" ht="15.75" hidden="false" customHeight="false" outlineLevel="0" collapsed="false">
      <c r="B247" s="7"/>
      <c r="C247" s="7"/>
      <c r="D247" s="7"/>
      <c r="E247" s="7"/>
      <c r="F247" s="7"/>
      <c r="G247" s="7"/>
      <c r="H247" s="7"/>
      <c r="I247" s="7"/>
    </row>
    <row r="248" customFormat="false" ht="15.75" hidden="false" customHeight="false" outlineLevel="0" collapsed="false">
      <c r="B248" s="7"/>
      <c r="C248" s="7"/>
      <c r="D248" s="7"/>
      <c r="E248" s="7"/>
      <c r="F248" s="7"/>
      <c r="G248" s="7"/>
      <c r="H248" s="7"/>
      <c r="I248" s="7"/>
    </row>
    <row r="249" customFormat="false" ht="15.75" hidden="false" customHeight="false" outlineLevel="0" collapsed="false">
      <c r="B249" s="7"/>
      <c r="C249" s="7"/>
      <c r="D249" s="7"/>
      <c r="E249" s="7"/>
      <c r="F249" s="7"/>
      <c r="G249" s="7"/>
      <c r="H249" s="7"/>
      <c r="I249" s="7"/>
    </row>
    <row r="250" customFormat="false" ht="15.75" hidden="false" customHeight="false" outlineLevel="0" collapsed="false">
      <c r="B250" s="7"/>
      <c r="C250" s="7"/>
      <c r="D250" s="7"/>
      <c r="E250" s="7"/>
      <c r="F250" s="7"/>
      <c r="G250" s="7"/>
      <c r="H250" s="7"/>
      <c r="I250" s="7"/>
    </row>
    <row r="251" customFormat="false" ht="15.75" hidden="false" customHeight="false" outlineLevel="0" collapsed="false">
      <c r="B251" s="7"/>
      <c r="C251" s="7"/>
      <c r="D251" s="7"/>
      <c r="E251" s="7"/>
      <c r="F251" s="7"/>
      <c r="G251" s="7"/>
      <c r="H251" s="7"/>
      <c r="I251" s="7"/>
    </row>
    <row r="252" customFormat="false" ht="15.75" hidden="false" customHeight="false" outlineLevel="0" collapsed="false">
      <c r="B252" s="7"/>
      <c r="C252" s="7"/>
      <c r="D252" s="7"/>
      <c r="E252" s="7"/>
      <c r="F252" s="7"/>
      <c r="G252" s="7"/>
      <c r="H252" s="7"/>
      <c r="I252" s="7"/>
    </row>
    <row r="253" customFormat="false" ht="15.75" hidden="false" customHeight="false" outlineLevel="0" collapsed="false">
      <c r="B253" s="7"/>
      <c r="C253" s="7"/>
      <c r="D253" s="7"/>
      <c r="E253" s="7"/>
      <c r="F253" s="7"/>
      <c r="G253" s="7"/>
      <c r="H253" s="7"/>
      <c r="I253" s="7"/>
    </row>
    <row r="254" customFormat="false" ht="15.75" hidden="false" customHeight="false" outlineLevel="0" collapsed="false">
      <c r="B254" s="7"/>
      <c r="C254" s="7"/>
      <c r="D254" s="7"/>
      <c r="E254" s="7"/>
      <c r="F254" s="7"/>
      <c r="G254" s="7"/>
      <c r="H254" s="7"/>
      <c r="I254" s="7"/>
    </row>
    <row r="255" customFormat="false" ht="15.75" hidden="false" customHeight="false" outlineLevel="0" collapsed="false">
      <c r="B255" s="7"/>
      <c r="C255" s="7"/>
      <c r="D255" s="7"/>
      <c r="E255" s="7"/>
      <c r="F255" s="7"/>
      <c r="G255" s="7"/>
      <c r="H255" s="7"/>
      <c r="I255" s="7"/>
    </row>
    <row r="256" customFormat="false" ht="15.75" hidden="false" customHeight="false" outlineLevel="0" collapsed="false">
      <c r="B256" s="7"/>
      <c r="C256" s="7"/>
      <c r="D256" s="7"/>
      <c r="E256" s="7"/>
      <c r="F256" s="7"/>
      <c r="G256" s="7"/>
      <c r="H256" s="7"/>
      <c r="I256" s="7"/>
    </row>
    <row r="257" customFormat="false" ht="15.75" hidden="false" customHeight="false" outlineLevel="0" collapsed="false">
      <c r="B257" s="7"/>
      <c r="C257" s="7"/>
      <c r="D257" s="7"/>
      <c r="E257" s="7"/>
      <c r="F257" s="7"/>
      <c r="G257" s="7"/>
      <c r="H257" s="7"/>
      <c r="I257" s="7"/>
    </row>
    <row r="258" customFormat="false" ht="15.75" hidden="false" customHeight="false" outlineLevel="0" collapsed="false">
      <c r="B258" s="7"/>
      <c r="C258" s="7"/>
      <c r="D258" s="7"/>
      <c r="E258" s="7"/>
      <c r="F258" s="7"/>
      <c r="G258" s="7"/>
      <c r="H258" s="7"/>
      <c r="I258" s="7"/>
    </row>
    <row r="259" customFormat="false" ht="15.75" hidden="false" customHeight="false" outlineLevel="0" collapsed="false">
      <c r="B259" s="7"/>
      <c r="C259" s="7"/>
      <c r="D259" s="7"/>
      <c r="E259" s="7"/>
      <c r="F259" s="7"/>
      <c r="G259" s="7"/>
      <c r="H259" s="7"/>
      <c r="I259" s="7"/>
    </row>
    <row r="260" customFormat="false" ht="15.75" hidden="false" customHeight="false" outlineLevel="0" collapsed="false">
      <c r="B260" s="7"/>
      <c r="C260" s="7"/>
      <c r="D260" s="7"/>
      <c r="E260" s="7"/>
      <c r="F260" s="7"/>
      <c r="G260" s="7"/>
      <c r="H260" s="7"/>
      <c r="I260" s="7"/>
    </row>
    <row r="261" customFormat="false" ht="15.75" hidden="false" customHeight="false" outlineLevel="0" collapsed="false">
      <c r="B261" s="7"/>
      <c r="C261" s="7"/>
      <c r="D261" s="7"/>
      <c r="E261" s="7"/>
      <c r="F261" s="7"/>
      <c r="G261" s="7"/>
      <c r="H261" s="7"/>
      <c r="I261" s="7"/>
    </row>
    <row r="262" customFormat="false" ht="15.75" hidden="false" customHeight="false" outlineLevel="0" collapsed="false">
      <c r="B262" s="7"/>
      <c r="C262" s="7"/>
      <c r="D262" s="7"/>
      <c r="E262" s="7"/>
      <c r="F262" s="7"/>
      <c r="G262" s="7"/>
      <c r="H262" s="7"/>
      <c r="I262" s="7"/>
    </row>
    <row r="263" customFormat="false" ht="15.75" hidden="false" customHeight="false" outlineLevel="0" collapsed="false">
      <c r="B263" s="7"/>
      <c r="C263" s="7"/>
      <c r="D263" s="7"/>
      <c r="E263" s="7"/>
      <c r="F263" s="7"/>
      <c r="G263" s="7"/>
      <c r="H263" s="7"/>
      <c r="I263" s="7"/>
    </row>
    <row r="264" customFormat="false" ht="15.75" hidden="false" customHeight="false" outlineLevel="0" collapsed="false">
      <c r="B264" s="7"/>
      <c r="C264" s="7"/>
      <c r="D264" s="7"/>
      <c r="E264" s="7"/>
      <c r="F264" s="7"/>
      <c r="G264" s="7"/>
      <c r="H264" s="7"/>
      <c r="I264" s="7"/>
    </row>
    <row r="265" customFormat="false" ht="15.75" hidden="false" customHeight="false" outlineLevel="0" collapsed="false">
      <c r="B265" s="7"/>
      <c r="C265" s="7"/>
      <c r="D265" s="7"/>
      <c r="E265" s="7"/>
      <c r="F265" s="7"/>
      <c r="G265" s="7"/>
      <c r="H265" s="7"/>
      <c r="I265" s="7"/>
    </row>
    <row r="266" customFormat="false" ht="15.75" hidden="false" customHeight="false" outlineLevel="0" collapsed="false">
      <c r="B266" s="7"/>
      <c r="C266" s="7"/>
      <c r="D266" s="7"/>
      <c r="E266" s="7"/>
      <c r="F266" s="7"/>
      <c r="G266" s="7"/>
      <c r="H266" s="7"/>
      <c r="I266" s="7"/>
    </row>
    <row r="267" customFormat="false" ht="15.75" hidden="false" customHeight="false" outlineLevel="0" collapsed="false">
      <c r="B267" s="7"/>
      <c r="C267" s="7"/>
      <c r="D267" s="7"/>
      <c r="E267" s="7"/>
      <c r="F267" s="7"/>
      <c r="G267" s="7"/>
      <c r="H267" s="7"/>
      <c r="I267" s="7"/>
    </row>
    <row r="268" customFormat="false" ht="15.75" hidden="false" customHeight="false" outlineLevel="0" collapsed="false">
      <c r="B268" s="7"/>
      <c r="C268" s="7"/>
      <c r="D268" s="7"/>
      <c r="E268" s="7"/>
      <c r="F268" s="7"/>
      <c r="G268" s="7"/>
      <c r="H268" s="7"/>
      <c r="I268" s="7"/>
    </row>
    <row r="269" customFormat="false" ht="15.75" hidden="false" customHeight="false" outlineLevel="0" collapsed="false">
      <c r="B269" s="7"/>
      <c r="C269" s="7"/>
      <c r="D269" s="7"/>
      <c r="E269" s="7"/>
      <c r="F269" s="7"/>
      <c r="G269" s="7"/>
      <c r="H269" s="7"/>
      <c r="I269" s="7"/>
    </row>
    <row r="270" customFormat="false" ht="15.75" hidden="false" customHeight="false" outlineLevel="0" collapsed="false">
      <c r="B270" s="7"/>
      <c r="C270" s="7"/>
      <c r="D270" s="7"/>
      <c r="E270" s="7"/>
      <c r="F270" s="7"/>
      <c r="G270" s="7"/>
      <c r="H270" s="7"/>
      <c r="I270" s="7"/>
    </row>
    <row r="271" customFormat="false" ht="15.75" hidden="false" customHeight="false" outlineLevel="0" collapsed="false">
      <c r="B271" s="7"/>
      <c r="C271" s="7"/>
      <c r="D271" s="7"/>
      <c r="E271" s="7"/>
      <c r="F271" s="7"/>
      <c r="G271" s="7"/>
      <c r="H271" s="7"/>
      <c r="I271" s="7"/>
    </row>
    <row r="272" customFormat="false" ht="15.75" hidden="false" customHeight="false" outlineLevel="0" collapsed="false">
      <c r="B272" s="7"/>
      <c r="C272" s="7"/>
      <c r="D272" s="7"/>
      <c r="E272" s="7"/>
      <c r="F272" s="7"/>
      <c r="G272" s="7"/>
      <c r="H272" s="7"/>
      <c r="I272" s="7"/>
    </row>
    <row r="273" customFormat="false" ht="15.75" hidden="false" customHeight="false" outlineLevel="0" collapsed="false">
      <c r="B273" s="7"/>
      <c r="C273" s="7"/>
      <c r="D273" s="7"/>
      <c r="E273" s="7"/>
      <c r="F273" s="7"/>
      <c r="G273" s="7"/>
      <c r="H273" s="7"/>
      <c r="I273" s="7"/>
    </row>
    <row r="274" customFormat="false" ht="15.75" hidden="false" customHeight="false" outlineLevel="0" collapsed="false">
      <c r="B274" s="7"/>
      <c r="C274" s="7"/>
      <c r="D274" s="7"/>
      <c r="E274" s="7"/>
      <c r="F274" s="7"/>
      <c r="G274" s="7"/>
      <c r="H274" s="7"/>
      <c r="I274" s="7"/>
    </row>
    <row r="275" customFormat="false" ht="15.75" hidden="false" customHeight="false" outlineLevel="0" collapsed="false">
      <c r="B275" s="7"/>
      <c r="C275" s="7"/>
      <c r="D275" s="7"/>
      <c r="E275" s="7"/>
      <c r="F275" s="7"/>
      <c r="G275" s="7"/>
      <c r="H275" s="7"/>
      <c r="I275" s="7"/>
    </row>
    <row r="276" customFormat="false" ht="15.75" hidden="false" customHeight="false" outlineLevel="0" collapsed="false">
      <c r="B276" s="7"/>
      <c r="C276" s="7"/>
      <c r="D276" s="7"/>
      <c r="E276" s="7"/>
      <c r="F276" s="7"/>
      <c r="G276" s="7"/>
      <c r="H276" s="7"/>
      <c r="I276" s="7"/>
    </row>
    <row r="277" customFormat="false" ht="15.75" hidden="false" customHeight="false" outlineLevel="0" collapsed="false">
      <c r="B277" s="7"/>
      <c r="C277" s="7"/>
      <c r="D277" s="7"/>
      <c r="E277" s="7"/>
      <c r="F277" s="7"/>
      <c r="G277" s="7"/>
      <c r="H277" s="7"/>
      <c r="I277" s="7"/>
    </row>
    <row r="278" customFormat="false" ht="15.75" hidden="false" customHeight="false" outlineLevel="0" collapsed="false">
      <c r="B278" s="7"/>
      <c r="C278" s="7"/>
      <c r="D278" s="7"/>
      <c r="E278" s="7"/>
      <c r="F278" s="7"/>
      <c r="G278" s="7"/>
      <c r="H278" s="7"/>
      <c r="I278" s="7"/>
    </row>
    <row r="279" customFormat="false" ht="15.75" hidden="false" customHeight="false" outlineLevel="0" collapsed="false">
      <c r="B279" s="7"/>
      <c r="C279" s="7"/>
      <c r="D279" s="7"/>
      <c r="E279" s="7"/>
      <c r="F279" s="7"/>
      <c r="G279" s="7"/>
      <c r="H279" s="7"/>
      <c r="I279" s="7"/>
    </row>
    <row r="280" customFormat="false" ht="15.75" hidden="false" customHeight="false" outlineLevel="0" collapsed="false">
      <c r="B280" s="7"/>
      <c r="C280" s="7"/>
      <c r="D280" s="7"/>
      <c r="E280" s="7"/>
      <c r="F280" s="7"/>
      <c r="G280" s="7"/>
      <c r="H280" s="7"/>
      <c r="I280" s="7"/>
    </row>
    <row r="281" customFormat="false" ht="15.75" hidden="false" customHeight="false" outlineLevel="0" collapsed="false">
      <c r="B281" s="7"/>
      <c r="C281" s="7"/>
      <c r="D281" s="7"/>
      <c r="E281" s="7"/>
      <c r="F281" s="7"/>
      <c r="G281" s="7"/>
      <c r="H281" s="7"/>
      <c r="I281" s="7"/>
    </row>
    <row r="282" customFormat="false" ht="15.75" hidden="false" customHeight="false" outlineLevel="0" collapsed="false">
      <c r="B282" s="7"/>
      <c r="C282" s="7"/>
      <c r="D282" s="7"/>
      <c r="E282" s="7"/>
      <c r="F282" s="7"/>
      <c r="G282" s="7"/>
      <c r="H282" s="7"/>
      <c r="I282" s="7"/>
    </row>
    <row r="283" customFormat="false" ht="15.75" hidden="false" customHeight="false" outlineLevel="0" collapsed="false">
      <c r="B283" s="7"/>
      <c r="C283" s="7"/>
      <c r="D283" s="7"/>
      <c r="E283" s="7"/>
      <c r="F283" s="7"/>
      <c r="G283" s="7"/>
      <c r="H283" s="7"/>
      <c r="I283" s="7"/>
    </row>
    <row r="284" customFormat="false" ht="15.75" hidden="false" customHeight="false" outlineLevel="0" collapsed="false">
      <c r="B284" s="7"/>
      <c r="C284" s="7"/>
      <c r="D284" s="7"/>
      <c r="E284" s="7"/>
      <c r="F284" s="7"/>
      <c r="G284" s="7"/>
      <c r="H284" s="7"/>
      <c r="I284" s="7"/>
    </row>
    <row r="285" customFormat="false" ht="15.75" hidden="false" customHeight="false" outlineLevel="0" collapsed="false">
      <c r="B285" s="7"/>
      <c r="C285" s="7"/>
      <c r="D285" s="7"/>
      <c r="E285" s="7"/>
      <c r="F285" s="7"/>
      <c r="G285" s="7"/>
      <c r="H285" s="7"/>
      <c r="I285" s="7"/>
    </row>
    <row r="286" customFormat="false" ht="15.75" hidden="false" customHeight="false" outlineLevel="0" collapsed="false">
      <c r="B286" s="7"/>
      <c r="C286" s="7"/>
      <c r="D286" s="7"/>
      <c r="E286" s="7"/>
      <c r="F286" s="7"/>
      <c r="G286" s="7"/>
      <c r="H286" s="7"/>
      <c r="I286" s="7"/>
    </row>
    <row r="287" customFormat="false" ht="15.75" hidden="false" customHeight="false" outlineLevel="0" collapsed="false">
      <c r="B287" s="7"/>
      <c r="C287" s="7"/>
      <c r="D287" s="7"/>
      <c r="E287" s="7"/>
      <c r="F287" s="7"/>
      <c r="G287" s="7"/>
      <c r="H287" s="7"/>
      <c r="I287" s="7"/>
    </row>
    <row r="288" customFormat="false" ht="15.75" hidden="false" customHeight="false" outlineLevel="0" collapsed="false">
      <c r="B288" s="7"/>
      <c r="C288" s="7"/>
      <c r="D288" s="7"/>
      <c r="E288" s="7"/>
      <c r="F288" s="7"/>
      <c r="G288" s="7"/>
      <c r="H288" s="7"/>
      <c r="I288" s="7"/>
    </row>
    <row r="289" customFormat="false" ht="15.75" hidden="false" customHeight="false" outlineLevel="0" collapsed="false">
      <c r="B289" s="7"/>
      <c r="C289" s="7"/>
      <c r="D289" s="7"/>
      <c r="E289" s="7"/>
      <c r="F289" s="7"/>
      <c r="G289" s="7"/>
      <c r="H289" s="7"/>
      <c r="I289" s="7"/>
    </row>
    <row r="290" customFormat="false" ht="15.75" hidden="false" customHeight="false" outlineLevel="0" collapsed="false">
      <c r="B290" s="7"/>
      <c r="C290" s="7"/>
      <c r="D290" s="7"/>
      <c r="E290" s="7"/>
      <c r="F290" s="7"/>
      <c r="G290" s="7"/>
      <c r="H290" s="7"/>
      <c r="I290" s="7"/>
    </row>
    <row r="291" customFormat="false" ht="15.75" hidden="false" customHeight="false" outlineLevel="0" collapsed="false">
      <c r="B291" s="7"/>
      <c r="C291" s="7"/>
      <c r="D291" s="7"/>
      <c r="E291" s="7"/>
      <c r="F291" s="7"/>
      <c r="G291" s="7"/>
      <c r="H291" s="7"/>
      <c r="I291" s="7"/>
    </row>
    <row r="292" customFormat="false" ht="15.75" hidden="false" customHeight="false" outlineLevel="0" collapsed="false">
      <c r="B292" s="7"/>
      <c r="C292" s="7"/>
      <c r="D292" s="7"/>
      <c r="E292" s="7"/>
      <c r="F292" s="7"/>
      <c r="G292" s="7"/>
      <c r="H292" s="7"/>
      <c r="I292" s="7"/>
    </row>
    <row r="293" customFormat="false" ht="15.75" hidden="false" customHeight="false" outlineLevel="0" collapsed="false">
      <c r="B293" s="7"/>
      <c r="C293" s="7"/>
      <c r="D293" s="7"/>
      <c r="E293" s="7"/>
      <c r="F293" s="7"/>
      <c r="G293" s="7"/>
      <c r="H293" s="7"/>
      <c r="I293" s="7"/>
    </row>
    <row r="294" customFormat="false" ht="15.75" hidden="false" customHeight="false" outlineLevel="0" collapsed="false">
      <c r="B294" s="7"/>
      <c r="C294" s="7"/>
      <c r="D294" s="7"/>
      <c r="E294" s="7"/>
      <c r="F294" s="7"/>
      <c r="G294" s="7"/>
      <c r="H294" s="7"/>
      <c r="I294" s="7"/>
    </row>
    <row r="295" customFormat="false" ht="15.75" hidden="false" customHeight="false" outlineLevel="0" collapsed="false">
      <c r="B295" s="7"/>
      <c r="C295" s="7"/>
      <c r="D295" s="7"/>
      <c r="E295" s="7"/>
      <c r="F295" s="7"/>
      <c r="G295" s="7"/>
      <c r="H295" s="7"/>
      <c r="I295" s="7"/>
    </row>
    <row r="296" customFormat="false" ht="15.75" hidden="false" customHeight="false" outlineLevel="0" collapsed="false">
      <c r="B296" s="7"/>
      <c r="C296" s="7"/>
      <c r="D296" s="7"/>
      <c r="E296" s="7"/>
      <c r="F296" s="7"/>
      <c r="G296" s="7"/>
      <c r="H296" s="7"/>
      <c r="I296" s="7"/>
    </row>
    <row r="297" customFormat="false" ht="15.75" hidden="false" customHeight="false" outlineLevel="0" collapsed="false">
      <c r="B297" s="7"/>
      <c r="C297" s="7"/>
      <c r="D297" s="7"/>
      <c r="E297" s="7"/>
      <c r="F297" s="7"/>
      <c r="G297" s="7"/>
      <c r="H297" s="7"/>
      <c r="I297" s="7"/>
    </row>
    <row r="298" customFormat="false" ht="15.75" hidden="false" customHeight="false" outlineLevel="0" collapsed="false">
      <c r="B298" s="7"/>
      <c r="C298" s="7"/>
      <c r="D298" s="7"/>
      <c r="E298" s="7"/>
      <c r="F298" s="7"/>
      <c r="G298" s="7"/>
      <c r="H298" s="7"/>
      <c r="I298" s="7"/>
    </row>
    <row r="299" customFormat="false" ht="15.75" hidden="false" customHeight="false" outlineLevel="0" collapsed="false">
      <c r="B299" s="7"/>
      <c r="C299" s="7"/>
      <c r="D299" s="7"/>
      <c r="E299" s="7"/>
      <c r="F299" s="7"/>
      <c r="G299" s="7"/>
      <c r="H299" s="7"/>
      <c r="I299" s="7"/>
    </row>
    <row r="300" customFormat="false" ht="15.75" hidden="false" customHeight="false" outlineLevel="0" collapsed="false">
      <c r="B300" s="7"/>
      <c r="C300" s="7"/>
      <c r="D300" s="7"/>
      <c r="E300" s="7"/>
      <c r="F300" s="7"/>
      <c r="G300" s="7"/>
      <c r="H300" s="7"/>
      <c r="I300" s="7"/>
    </row>
    <row r="301" customFormat="false" ht="15.75" hidden="false" customHeight="false" outlineLevel="0" collapsed="false">
      <c r="B301" s="7"/>
      <c r="C301" s="7"/>
      <c r="D301" s="7"/>
      <c r="E301" s="7"/>
      <c r="F301" s="7"/>
      <c r="G301" s="7"/>
      <c r="H301" s="7"/>
      <c r="I301" s="7"/>
    </row>
    <row r="302" customFormat="false" ht="15.75" hidden="false" customHeight="false" outlineLevel="0" collapsed="false">
      <c r="B302" s="7"/>
      <c r="C302" s="7"/>
      <c r="D302" s="7"/>
      <c r="E302" s="7"/>
      <c r="F302" s="7"/>
      <c r="G302" s="7"/>
      <c r="H302" s="7"/>
      <c r="I302" s="7"/>
    </row>
    <row r="303" customFormat="false" ht="15.75" hidden="false" customHeight="false" outlineLevel="0" collapsed="false">
      <c r="B303" s="7"/>
      <c r="C303" s="7"/>
      <c r="D303" s="7"/>
      <c r="E303" s="7"/>
      <c r="F303" s="7"/>
      <c r="G303" s="7"/>
      <c r="H303" s="7"/>
      <c r="I303" s="7"/>
    </row>
    <row r="304" customFormat="false" ht="15.75" hidden="false" customHeight="false" outlineLevel="0" collapsed="false">
      <c r="B304" s="7"/>
      <c r="C304" s="7"/>
      <c r="D304" s="7"/>
      <c r="E304" s="7"/>
      <c r="F304" s="7"/>
      <c r="G304" s="7"/>
      <c r="H304" s="7"/>
      <c r="I304" s="7"/>
    </row>
    <row r="305" customFormat="false" ht="15.75" hidden="false" customHeight="false" outlineLevel="0" collapsed="false">
      <c r="B305" s="7"/>
      <c r="C305" s="7"/>
      <c r="D305" s="7"/>
      <c r="E305" s="7"/>
      <c r="F305" s="7"/>
      <c r="G305" s="7"/>
      <c r="H305" s="7"/>
      <c r="I305" s="7"/>
    </row>
    <row r="306" customFormat="false" ht="15.75" hidden="false" customHeight="false" outlineLevel="0" collapsed="false">
      <c r="B306" s="7"/>
      <c r="C306" s="7"/>
      <c r="D306" s="7"/>
      <c r="E306" s="7"/>
      <c r="F306" s="7"/>
      <c r="G306" s="7"/>
      <c r="H306" s="7"/>
      <c r="I306" s="7"/>
    </row>
    <row r="307" customFormat="false" ht="15.75" hidden="false" customHeight="false" outlineLevel="0" collapsed="false">
      <c r="B307" s="7"/>
      <c r="C307" s="7"/>
      <c r="D307" s="7"/>
      <c r="E307" s="7"/>
      <c r="F307" s="7"/>
      <c r="G307" s="7"/>
      <c r="H307" s="7"/>
      <c r="I307" s="7"/>
    </row>
    <row r="308" customFormat="false" ht="15.75" hidden="false" customHeight="false" outlineLevel="0" collapsed="false">
      <c r="B308" s="7"/>
      <c r="C308" s="7"/>
      <c r="D308" s="7"/>
      <c r="E308" s="7"/>
      <c r="F308" s="7"/>
      <c r="G308" s="7"/>
      <c r="H308" s="7"/>
      <c r="I308" s="7"/>
    </row>
    <row r="309" customFormat="false" ht="15.75" hidden="false" customHeight="false" outlineLevel="0" collapsed="false">
      <c r="B309" s="7"/>
      <c r="C309" s="7"/>
      <c r="D309" s="7"/>
      <c r="E309" s="7"/>
      <c r="F309" s="7"/>
      <c r="G309" s="7"/>
      <c r="H309" s="7"/>
      <c r="I309" s="7"/>
    </row>
    <row r="310" customFormat="false" ht="15.75" hidden="false" customHeight="false" outlineLevel="0" collapsed="false">
      <c r="B310" s="7"/>
      <c r="C310" s="7"/>
      <c r="D310" s="7"/>
      <c r="E310" s="7"/>
      <c r="F310" s="7"/>
      <c r="G310" s="7"/>
      <c r="H310" s="7"/>
      <c r="I310" s="7"/>
    </row>
    <row r="311" customFormat="false" ht="15.75" hidden="false" customHeight="false" outlineLevel="0" collapsed="false">
      <c r="B311" s="7"/>
      <c r="C311" s="7"/>
      <c r="D311" s="7"/>
      <c r="E311" s="7"/>
      <c r="F311" s="7"/>
      <c r="G311" s="7"/>
      <c r="H311" s="7"/>
      <c r="I311" s="7"/>
    </row>
    <row r="312" customFormat="false" ht="15.75" hidden="false" customHeight="false" outlineLevel="0" collapsed="false">
      <c r="B312" s="7"/>
      <c r="C312" s="7"/>
      <c r="D312" s="7"/>
      <c r="E312" s="7"/>
      <c r="F312" s="7"/>
      <c r="G312" s="7"/>
      <c r="H312" s="7"/>
      <c r="I312" s="7"/>
    </row>
    <row r="313" customFormat="false" ht="15.75" hidden="false" customHeight="false" outlineLevel="0" collapsed="false">
      <c r="B313" s="7"/>
      <c r="C313" s="7"/>
      <c r="D313" s="7"/>
      <c r="E313" s="7"/>
      <c r="F313" s="7"/>
      <c r="G313" s="7"/>
      <c r="H313" s="7"/>
      <c r="I313" s="7"/>
    </row>
    <row r="314" customFormat="false" ht="15.75" hidden="false" customHeight="false" outlineLevel="0" collapsed="false">
      <c r="B314" s="7"/>
      <c r="C314" s="7"/>
      <c r="D314" s="7"/>
      <c r="E314" s="7"/>
      <c r="F314" s="7"/>
      <c r="G314" s="7"/>
      <c r="H314" s="7"/>
      <c r="I314" s="7"/>
    </row>
    <row r="315" customFormat="false" ht="15.75" hidden="false" customHeight="false" outlineLevel="0" collapsed="false">
      <c r="B315" s="7"/>
      <c r="C315" s="7"/>
      <c r="D315" s="7"/>
      <c r="E315" s="7"/>
      <c r="F315" s="7"/>
      <c r="G315" s="7"/>
      <c r="H315" s="7"/>
      <c r="I315" s="7"/>
    </row>
    <row r="316" customFormat="false" ht="15.75" hidden="false" customHeight="false" outlineLevel="0" collapsed="false">
      <c r="B316" s="7"/>
      <c r="C316" s="7"/>
      <c r="D316" s="7"/>
      <c r="E316" s="7"/>
      <c r="F316" s="7"/>
      <c r="G316" s="7"/>
      <c r="H316" s="7"/>
      <c r="I316" s="7"/>
    </row>
    <row r="317" customFormat="false" ht="15.75" hidden="false" customHeight="false" outlineLevel="0" collapsed="false">
      <c r="B317" s="7"/>
      <c r="C317" s="7"/>
      <c r="D317" s="7"/>
      <c r="E317" s="7"/>
      <c r="F317" s="7"/>
      <c r="G317" s="7"/>
      <c r="H317" s="7"/>
      <c r="I317" s="7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5" min="5" style="0" width="23.75"/>
    <col collapsed="false" customWidth="true" hidden="false" outlineLevel="0" max="10" min="10" style="0" width="84.38"/>
    <col collapsed="false" customWidth="true" hidden="false" outlineLevel="0" max="11" min="11" style="0" width="60.63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8" t="s">
        <v>59</v>
      </c>
      <c r="B2" s="3"/>
      <c r="C2" s="3"/>
      <c r="D2" s="3"/>
      <c r="E2" s="3" t="s">
        <v>60</v>
      </c>
      <c r="F2" s="3" t="s">
        <v>24</v>
      </c>
      <c r="G2" s="3" t="s">
        <v>61</v>
      </c>
      <c r="H2" s="3" t="s">
        <v>62</v>
      </c>
      <c r="I2" s="3" t="s">
        <v>16</v>
      </c>
      <c r="J2" s="6" t="s">
        <v>63</v>
      </c>
      <c r="K2" s="6" t="s">
        <v>64</v>
      </c>
    </row>
    <row r="3" customFormat="false" ht="15.75" hidden="false" customHeight="false" outlineLevel="0" collapsed="false">
      <c r="A3" s="8" t="s">
        <v>65</v>
      </c>
      <c r="B3" s="3"/>
      <c r="E3" s="3" t="s">
        <v>55</v>
      </c>
      <c r="F3" s="3" t="s">
        <v>24</v>
      </c>
      <c r="G3" s="6" t="s">
        <v>48</v>
      </c>
      <c r="H3" s="3" t="s">
        <v>15</v>
      </c>
      <c r="I3" s="3" t="s">
        <v>16</v>
      </c>
      <c r="J3" s="9" t="s">
        <v>66</v>
      </c>
      <c r="K3" s="6" t="s">
        <v>67</v>
      </c>
    </row>
    <row r="4" customFormat="false" ht="15.75" hidden="false" customHeight="false" outlineLevel="0" collapsed="false">
      <c r="A4" s="8" t="s">
        <v>68</v>
      </c>
      <c r="E4" s="3" t="s">
        <v>36</v>
      </c>
      <c r="F4" s="3" t="s">
        <v>48</v>
      </c>
      <c r="G4" s="3" t="s">
        <v>69</v>
      </c>
      <c r="H4" s="3" t="s">
        <v>15</v>
      </c>
      <c r="I4" s="3" t="s">
        <v>16</v>
      </c>
      <c r="J4" s="6" t="s">
        <v>70</v>
      </c>
      <c r="K4" s="6" t="s">
        <v>71</v>
      </c>
    </row>
    <row r="5" customFormat="false" ht="15.75" hidden="false" customHeight="false" outlineLevel="0" collapsed="false">
      <c r="A5" s="8" t="s">
        <v>72</v>
      </c>
      <c r="E5" s="3" t="s">
        <v>36</v>
      </c>
      <c r="F5" s="3" t="s">
        <v>48</v>
      </c>
      <c r="G5" s="3" t="s">
        <v>69</v>
      </c>
      <c r="H5" s="3" t="s">
        <v>15</v>
      </c>
      <c r="I5" s="3" t="s">
        <v>16</v>
      </c>
      <c r="J5" s="6" t="s">
        <v>73</v>
      </c>
      <c r="K5" s="6" t="s">
        <v>74</v>
      </c>
    </row>
    <row r="6" customFormat="false" ht="610.4" hidden="false" customHeight="false" outlineLevel="0" collapsed="false">
      <c r="A6" s="8" t="s">
        <v>75</v>
      </c>
      <c r="E6" s="10" t="s">
        <v>76</v>
      </c>
      <c r="F6" s="3" t="s">
        <v>24</v>
      </c>
      <c r="G6" s="3" t="s">
        <v>77</v>
      </c>
      <c r="H6" s="3" t="s">
        <v>62</v>
      </c>
      <c r="I6" s="3" t="s">
        <v>78</v>
      </c>
      <c r="J6" s="6" t="s">
        <v>79</v>
      </c>
      <c r="K6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3" min="3" style="0" width="15.51"/>
    <col collapsed="false" customWidth="true" hidden="false" outlineLevel="0" max="4" min="4" style="0" width="16.38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06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12" t="s">
        <v>84</v>
      </c>
      <c r="B2" s="3" t="n">
        <v>360</v>
      </c>
      <c r="C2" s="3"/>
      <c r="D2" s="6"/>
      <c r="E2" s="3" t="s">
        <v>85</v>
      </c>
      <c r="F2" s="3" t="s">
        <v>86</v>
      </c>
      <c r="G2" s="3" t="s">
        <v>87</v>
      </c>
      <c r="H2" s="3" t="s">
        <v>69</v>
      </c>
      <c r="I2" s="3" t="s">
        <v>15</v>
      </c>
      <c r="J2" s="3" t="s">
        <v>16</v>
      </c>
      <c r="K2" s="6" t="s">
        <v>88</v>
      </c>
      <c r="L2" s="9" t="s">
        <v>89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511.9" hidden="false" customHeight="false" outlineLevel="0" collapsed="false">
      <c r="A3" s="12" t="s">
        <v>90</v>
      </c>
      <c r="B3" s="13"/>
      <c r="C3" s="3"/>
      <c r="D3" s="3"/>
      <c r="E3" s="3" t="s">
        <v>91</v>
      </c>
      <c r="F3" s="3" t="s">
        <v>86</v>
      </c>
      <c r="G3" s="3" t="s">
        <v>24</v>
      </c>
      <c r="H3" s="3" t="s">
        <v>48</v>
      </c>
      <c r="I3" s="3" t="s">
        <v>92</v>
      </c>
      <c r="J3" s="3" t="s">
        <v>78</v>
      </c>
      <c r="K3" s="6" t="s">
        <v>93</v>
      </c>
      <c r="L3" s="6" t="s">
        <v>94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356.7" hidden="false" customHeight="false" outlineLevel="0" collapsed="false">
      <c r="A4" s="12" t="s">
        <v>95</v>
      </c>
      <c r="B4" s="3"/>
      <c r="C4" s="3"/>
      <c r="D4" s="6"/>
      <c r="E4" s="3" t="s">
        <v>96</v>
      </c>
      <c r="F4" s="3" t="s">
        <v>86</v>
      </c>
      <c r="G4" s="3" t="s">
        <v>48</v>
      </c>
      <c r="H4" s="3" t="s">
        <v>97</v>
      </c>
      <c r="I4" s="3" t="s">
        <v>92</v>
      </c>
      <c r="J4" s="3" t="s">
        <v>16</v>
      </c>
      <c r="K4" s="6" t="s">
        <v>98</v>
      </c>
      <c r="L4" s="14" t="s">
        <v>99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400.7" hidden="false" customHeight="false" outlineLevel="0" collapsed="false">
      <c r="A5" s="12" t="s">
        <v>100</v>
      </c>
      <c r="B5" s="3" t="n">
        <v>630</v>
      </c>
      <c r="C5" s="3"/>
      <c r="D5" s="10" t="s">
        <v>101</v>
      </c>
      <c r="E5" s="3" t="s">
        <v>102</v>
      </c>
      <c r="F5" s="3" t="s">
        <v>86</v>
      </c>
      <c r="G5" s="3" t="s">
        <v>103</v>
      </c>
      <c r="H5" s="3" t="s">
        <v>48</v>
      </c>
      <c r="I5" s="3" t="s">
        <v>92</v>
      </c>
      <c r="J5" s="3" t="s">
        <v>104</v>
      </c>
      <c r="K5" s="14" t="s">
        <v>105</v>
      </c>
      <c r="L5" s="14" t="s">
        <v>106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97.75" hidden="false" customHeight="false" outlineLevel="0" collapsed="false">
      <c r="A6" s="12" t="s">
        <v>107</v>
      </c>
      <c r="B6" s="3" t="n">
        <v>787</v>
      </c>
      <c r="C6" s="10" t="s">
        <v>108</v>
      </c>
      <c r="D6" s="3"/>
      <c r="E6" s="3" t="s">
        <v>109</v>
      </c>
      <c r="F6" s="3" t="s">
        <v>86</v>
      </c>
      <c r="G6" s="3" t="s">
        <v>110</v>
      </c>
      <c r="H6" s="3" t="s">
        <v>111</v>
      </c>
      <c r="I6" s="3" t="s">
        <v>112</v>
      </c>
      <c r="J6" s="3" t="s">
        <v>78</v>
      </c>
      <c r="K6" s="6" t="s">
        <v>113</v>
      </c>
      <c r="L6" s="6" t="s">
        <v>114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26.85" hidden="false" customHeight="false" outlineLevel="0" collapsed="false">
      <c r="A7" s="12" t="s">
        <v>115</v>
      </c>
      <c r="B7" s="3" t="n">
        <v>697</v>
      </c>
      <c r="C7" s="10" t="s">
        <v>116</v>
      </c>
      <c r="D7" s="3"/>
      <c r="E7" s="3" t="s">
        <v>117</v>
      </c>
      <c r="F7" s="3" t="s">
        <v>86</v>
      </c>
      <c r="G7" s="10" t="s">
        <v>118</v>
      </c>
      <c r="H7" s="3" t="s">
        <v>119</v>
      </c>
      <c r="I7" s="3" t="s">
        <v>92</v>
      </c>
      <c r="J7" s="3" t="s">
        <v>16</v>
      </c>
      <c r="K7" s="6" t="s">
        <v>120</v>
      </c>
      <c r="L7" s="6" t="s">
        <v>121</v>
      </c>
    </row>
    <row r="8" customFormat="false" ht="26.85" hidden="false" customHeight="false" outlineLevel="0" collapsed="false">
      <c r="A8" s="15" t="s">
        <v>122</v>
      </c>
      <c r="B8" s="3"/>
      <c r="C8" s="3" t="s">
        <v>123</v>
      </c>
      <c r="D8" s="3"/>
      <c r="E8" s="3" t="s">
        <v>12</v>
      </c>
      <c r="F8" s="3" t="s">
        <v>86</v>
      </c>
      <c r="G8" s="10" t="s">
        <v>118</v>
      </c>
      <c r="H8" s="3" t="s">
        <v>124</v>
      </c>
      <c r="I8" s="3" t="s">
        <v>112</v>
      </c>
      <c r="J8" s="3" t="s">
        <v>16</v>
      </c>
      <c r="K8" s="6" t="s">
        <v>125</v>
      </c>
      <c r="L8" s="14" t="s">
        <v>126</v>
      </c>
    </row>
    <row r="9" customFormat="false" ht="410.4" hidden="false" customHeight="false" outlineLevel="0" collapsed="false">
      <c r="A9" s="12" t="s">
        <v>127</v>
      </c>
      <c r="B9" s="3"/>
      <c r="C9" s="3"/>
      <c r="D9" s="3"/>
      <c r="E9" s="3" t="s">
        <v>128</v>
      </c>
      <c r="F9" s="3" t="s">
        <v>86</v>
      </c>
      <c r="G9" s="3" t="s">
        <v>24</v>
      </c>
      <c r="H9" s="3" t="s">
        <v>124</v>
      </c>
      <c r="I9" s="3" t="s">
        <v>112</v>
      </c>
      <c r="J9" s="3" t="s">
        <v>16</v>
      </c>
      <c r="K9" s="6" t="s">
        <v>129</v>
      </c>
      <c r="L9" s="6" t="s">
        <v>130</v>
      </c>
    </row>
    <row r="10" customFormat="false" ht="629.1" hidden="false" customHeight="false" outlineLevel="0" collapsed="false">
      <c r="A10" s="12" t="s">
        <v>131</v>
      </c>
      <c r="B10" s="3" t="n">
        <v>742</v>
      </c>
      <c r="C10" s="3"/>
      <c r="D10" s="3"/>
      <c r="E10" s="3" t="s">
        <v>132</v>
      </c>
      <c r="F10" s="3" t="s">
        <v>86</v>
      </c>
      <c r="G10" s="3" t="s">
        <v>48</v>
      </c>
      <c r="H10" s="3" t="s">
        <v>48</v>
      </c>
      <c r="I10" s="3" t="s">
        <v>112</v>
      </c>
      <c r="J10" s="3" t="s">
        <v>16</v>
      </c>
      <c r="K10" s="6" t="s">
        <v>133</v>
      </c>
      <c r="L10" s="14" t="s">
        <v>134</v>
      </c>
    </row>
    <row r="11" customFormat="false" ht="15.75" hidden="false" customHeight="false" outlineLevel="0" collapsed="false">
      <c r="A11" s="12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12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12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12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5.88"/>
    <col collapsed="false" customWidth="true" hidden="false" outlineLevel="0" max="3" min="3" style="0" width="15.51"/>
    <col collapsed="false" customWidth="true" hidden="false" outlineLevel="0" max="4" min="4" style="0" width="16.38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06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12" t="s">
        <v>135</v>
      </c>
      <c r="B2" s="3" t="n">
        <v>720</v>
      </c>
      <c r="C2" s="3"/>
      <c r="D2" s="6"/>
      <c r="E2" s="3" t="s">
        <v>12</v>
      </c>
      <c r="F2" s="3" t="s">
        <v>86</v>
      </c>
      <c r="G2" s="3" t="n">
        <v>6</v>
      </c>
      <c r="H2" s="3" t="s">
        <v>136</v>
      </c>
      <c r="I2" s="3" t="s">
        <v>112</v>
      </c>
      <c r="J2" s="3" t="s">
        <v>137</v>
      </c>
      <c r="K2" s="6" t="s">
        <v>138</v>
      </c>
      <c r="L2" s="9" t="s">
        <v>139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7.35" hidden="false" customHeight="false" outlineLevel="0" collapsed="false">
      <c r="A3" s="12" t="s">
        <v>140</v>
      </c>
      <c r="B3" s="13"/>
      <c r="C3" s="3"/>
      <c r="D3" s="3"/>
      <c r="E3" s="3" t="s">
        <v>12</v>
      </c>
      <c r="F3" s="3" t="s">
        <v>86</v>
      </c>
      <c r="G3" s="3" t="s">
        <v>141</v>
      </c>
      <c r="H3" s="3" t="s">
        <v>142</v>
      </c>
      <c r="I3" s="3" t="s">
        <v>112</v>
      </c>
      <c r="J3" s="3" t="s">
        <v>78</v>
      </c>
      <c r="K3" s="6" t="s">
        <v>143</v>
      </c>
      <c r="L3" s="6" t="s">
        <v>144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42.5" hidden="false" customHeight="false" outlineLevel="0" collapsed="false">
      <c r="A4" s="12" t="s">
        <v>145</v>
      </c>
      <c r="B4" s="3"/>
      <c r="C4" s="3"/>
      <c r="D4" s="6"/>
      <c r="E4" s="3" t="s">
        <v>12</v>
      </c>
      <c r="F4" s="3" t="s">
        <v>86</v>
      </c>
      <c r="G4" s="3" t="s">
        <v>146</v>
      </c>
      <c r="H4" s="3" t="s">
        <v>147</v>
      </c>
      <c r="I4" s="3" t="s">
        <v>112</v>
      </c>
      <c r="J4" s="3" t="s">
        <v>137</v>
      </c>
      <c r="K4" s="6" t="s">
        <v>148</v>
      </c>
      <c r="L4" s="14" t="s">
        <v>149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67.9" hidden="false" customHeight="false" outlineLevel="0" collapsed="false">
      <c r="A5" s="12" t="s">
        <v>150</v>
      </c>
      <c r="B5" s="3" t="n">
        <v>630</v>
      </c>
      <c r="C5" s="3"/>
      <c r="D5" s="10"/>
      <c r="E5" s="3" t="s">
        <v>12</v>
      </c>
      <c r="F5" s="3" t="s">
        <v>86</v>
      </c>
      <c r="G5" s="3" t="s">
        <v>151</v>
      </c>
      <c r="H5" s="3" t="s">
        <v>152</v>
      </c>
      <c r="I5" s="3" t="s">
        <v>112</v>
      </c>
      <c r="J5" s="3" t="s">
        <v>153</v>
      </c>
      <c r="K5" s="14" t="s">
        <v>154</v>
      </c>
      <c r="L5" s="14" t="s">
        <v>155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673.85" hidden="false" customHeight="false" outlineLevel="0" collapsed="false">
      <c r="A6" s="12" t="s">
        <v>156</v>
      </c>
      <c r="B6" s="3"/>
      <c r="C6" s="10" t="s">
        <v>116</v>
      </c>
      <c r="D6" s="3"/>
      <c r="E6" s="3" t="s">
        <v>157</v>
      </c>
      <c r="F6" s="3" t="s">
        <v>86</v>
      </c>
      <c r="G6" s="10" t="s">
        <v>48</v>
      </c>
      <c r="H6" s="3" t="s">
        <v>158</v>
      </c>
      <c r="I6" s="3" t="s">
        <v>159</v>
      </c>
      <c r="J6" s="3" t="s">
        <v>137</v>
      </c>
      <c r="K6" s="14" t="s">
        <v>160</v>
      </c>
      <c r="L6" s="14" t="s">
        <v>161</v>
      </c>
    </row>
    <row r="7" customFormat="false" ht="15.75" hidden="false" customHeight="false" outlineLevel="0" collapsed="false">
      <c r="A7" s="15"/>
      <c r="B7" s="3"/>
      <c r="C7" s="3"/>
      <c r="D7" s="3"/>
      <c r="E7" s="3"/>
      <c r="F7" s="3"/>
      <c r="G7" s="10"/>
      <c r="H7" s="3"/>
      <c r="I7" s="3"/>
      <c r="J7" s="3"/>
      <c r="K7" s="6"/>
      <c r="L7" s="14"/>
    </row>
    <row r="8" customFormat="false" ht="15.75" hidden="false" customHeight="false" outlineLevel="0" collapsed="false">
      <c r="A8" s="12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12"/>
      <c r="B9" s="3"/>
      <c r="C9" s="3"/>
      <c r="D9" s="3"/>
      <c r="E9" s="3"/>
      <c r="F9" s="3"/>
      <c r="G9" s="3"/>
      <c r="H9" s="3"/>
      <c r="I9" s="3"/>
      <c r="J9" s="3"/>
      <c r="K9" s="6"/>
      <c r="L9" s="14"/>
    </row>
    <row r="10" customFormat="false" ht="15.75" hidden="false" customHeight="false" outlineLevel="0" collapsed="false">
      <c r="A10" s="12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12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12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customFormat="false" ht="15.75" hidden="false" customHeight="false" outlineLevel="0" collapsed="false">
      <c r="A13" s="12"/>
      <c r="B13" s="3"/>
      <c r="C13" s="3"/>
      <c r="D13" s="3"/>
      <c r="E13" s="3"/>
      <c r="F13" s="3"/>
      <c r="G13" s="3"/>
      <c r="H13" s="3"/>
      <c r="I13" s="3"/>
      <c r="J13" s="3"/>
      <c r="K13" s="5"/>
      <c r="L13" s="1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9.75"/>
    <col collapsed="false" customWidth="true" hidden="false" outlineLevel="0" max="3" min="3" style="0" width="15.51"/>
    <col collapsed="false" customWidth="true" hidden="false" outlineLevel="0" max="4" min="4" style="0" width="16.38"/>
    <col collapsed="false" customWidth="true" hidden="false" outlineLevel="0" max="5" min="5" style="0" width="23.75"/>
    <col collapsed="false" customWidth="true" hidden="false" outlineLevel="0" max="6" min="6" style="0" width="21.88"/>
    <col collapsed="false" customWidth="true" hidden="false" outlineLevel="0" max="7" min="7" style="0" width="23.88"/>
    <col collapsed="false" customWidth="true" hidden="false" outlineLevel="0" max="11" min="11" style="0" width="84.38"/>
    <col collapsed="false" customWidth="true" hidden="false" outlineLevel="0" max="12" min="12" style="0" width="106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714.9" hidden="false" customHeight="false" outlineLevel="0" collapsed="false">
      <c r="A2" s="12" t="s">
        <v>162</v>
      </c>
      <c r="B2" s="3"/>
      <c r="C2" s="3"/>
      <c r="D2" s="6"/>
      <c r="E2" s="3" t="s">
        <v>12</v>
      </c>
      <c r="F2" s="3" t="s">
        <v>86</v>
      </c>
      <c r="G2" s="3" t="s">
        <v>48</v>
      </c>
      <c r="H2" s="3" t="s">
        <v>147</v>
      </c>
      <c r="I2" s="3" t="s">
        <v>112</v>
      </c>
      <c r="J2" s="3" t="s">
        <v>16</v>
      </c>
      <c r="K2" s="14" t="s">
        <v>163</v>
      </c>
      <c r="L2" s="9" t="s">
        <v>164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426.1" hidden="false" customHeight="false" outlineLevel="0" collapsed="false">
      <c r="A3" s="12" t="s">
        <v>165</v>
      </c>
      <c r="B3" s="13"/>
      <c r="C3" s="3"/>
      <c r="D3" s="3"/>
      <c r="E3" s="3" t="s">
        <v>12</v>
      </c>
      <c r="F3" s="3" t="s">
        <v>86</v>
      </c>
      <c r="G3" s="3" t="s">
        <v>166</v>
      </c>
      <c r="H3" s="3" t="s">
        <v>142</v>
      </c>
      <c r="I3" s="3" t="s">
        <v>112</v>
      </c>
      <c r="J3" s="3" t="s">
        <v>78</v>
      </c>
      <c r="K3" s="6" t="s">
        <v>167</v>
      </c>
      <c r="L3" s="14" t="s">
        <v>168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245.5" hidden="false" customHeight="false" outlineLevel="0" collapsed="false">
      <c r="A4" s="12" t="s">
        <v>169</v>
      </c>
      <c r="B4" s="3"/>
      <c r="C4" s="3"/>
      <c r="D4" s="6"/>
      <c r="E4" s="3" t="s">
        <v>170</v>
      </c>
      <c r="F4" s="3" t="s">
        <v>86</v>
      </c>
      <c r="G4" s="3" t="s">
        <v>171</v>
      </c>
      <c r="H4" s="3" t="s">
        <v>48</v>
      </c>
      <c r="I4" s="3" t="s">
        <v>112</v>
      </c>
      <c r="J4" s="3" t="s">
        <v>137</v>
      </c>
      <c r="K4" s="14" t="s">
        <v>172</v>
      </c>
      <c r="L4" s="6" t="s">
        <v>173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false" outlineLevel="0" collapsed="false">
      <c r="A5" s="15"/>
      <c r="B5" s="3"/>
      <c r="C5" s="3"/>
      <c r="D5" s="3"/>
      <c r="E5" s="3"/>
      <c r="F5" s="3"/>
      <c r="G5" s="10"/>
      <c r="H5" s="3"/>
      <c r="I5" s="3"/>
      <c r="J5" s="3"/>
      <c r="K5" s="6"/>
      <c r="L5" s="14"/>
    </row>
    <row r="6" customFormat="false" ht="15.75" hidden="false" customHeight="false" outlineLevel="0" collapsed="false">
      <c r="A6" s="12"/>
      <c r="B6" s="3"/>
      <c r="C6" s="3"/>
      <c r="D6" s="3"/>
      <c r="E6" s="3"/>
      <c r="F6" s="3"/>
      <c r="G6" s="3"/>
      <c r="H6" s="3"/>
      <c r="I6" s="3"/>
      <c r="J6" s="3"/>
      <c r="K6" s="6"/>
      <c r="L6" s="6"/>
    </row>
    <row r="7" customFormat="false" ht="15.75" hidden="false" customHeight="false" outlineLevel="0" collapsed="false">
      <c r="A7" s="12"/>
      <c r="B7" s="3"/>
      <c r="C7" s="3"/>
      <c r="D7" s="3"/>
      <c r="E7" s="3"/>
      <c r="F7" s="3"/>
      <c r="G7" s="3"/>
      <c r="H7" s="3"/>
      <c r="I7" s="3"/>
      <c r="J7" s="3"/>
      <c r="K7" s="6"/>
      <c r="L7" s="14"/>
    </row>
    <row r="8" customFormat="false" ht="15.75" hidden="false" customHeight="false" outlineLevel="0" collapsed="false">
      <c r="A8" s="12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12"/>
      <c r="B9" s="3"/>
      <c r="C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12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customFormat="false" ht="15.75" hidden="false" customHeight="false" outlineLevel="0" collapsed="false">
      <c r="A11" s="12"/>
      <c r="B11" s="3"/>
      <c r="C11" s="3"/>
      <c r="D11" s="3"/>
      <c r="E11" s="3"/>
      <c r="F11" s="3"/>
      <c r="G11" s="3"/>
      <c r="H11" s="3"/>
      <c r="I11" s="3"/>
      <c r="J11" s="3"/>
      <c r="K11" s="5"/>
      <c r="L11" s="16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3" min="3" style="0" width="14.13"/>
    <col collapsed="false" customWidth="true" hidden="false" outlineLevel="0" max="4" min="4" style="0" width="18.75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17.8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174</v>
      </c>
      <c r="C1" s="1" t="s">
        <v>2</v>
      </c>
      <c r="D1" s="1" t="s">
        <v>3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17" t="s">
        <v>175</v>
      </c>
      <c r="B2" s="3" t="e">
        <f aca="false">FLOOR(SUM(((#REF!)*100 * 1.35)),1)</f>
        <v>#REF!</v>
      </c>
      <c r="C2" s="3" t="s">
        <v>176</v>
      </c>
      <c r="D2" s="3" t="s">
        <v>177</v>
      </c>
      <c r="E2" s="3" t="s">
        <v>178</v>
      </c>
      <c r="F2" s="3" t="s">
        <v>86</v>
      </c>
      <c r="G2" s="3" t="s">
        <v>179</v>
      </c>
      <c r="H2" s="3" t="s">
        <v>180</v>
      </c>
      <c r="I2" s="3" t="s">
        <v>92</v>
      </c>
      <c r="J2" s="3" t="s">
        <v>78</v>
      </c>
      <c r="K2" s="6" t="s">
        <v>181</v>
      </c>
      <c r="L2" s="9" t="s">
        <v>182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97.75" hidden="false" customHeight="false" outlineLevel="0" collapsed="false">
      <c r="A3" s="17" t="s">
        <v>183</v>
      </c>
      <c r="B3" s="3" t="e">
        <f aca="false">FLOOR(SUM(((#REF!)*100 * 1.05)),1)</f>
        <v>#REF!</v>
      </c>
      <c r="C3" s="3" t="s">
        <v>184</v>
      </c>
      <c r="D3" s="10" t="s">
        <v>185</v>
      </c>
      <c r="E3" s="3" t="s">
        <v>186</v>
      </c>
      <c r="F3" s="3" t="s">
        <v>86</v>
      </c>
      <c r="G3" s="3" t="s">
        <v>187</v>
      </c>
      <c r="H3" s="3" t="s">
        <v>124</v>
      </c>
      <c r="I3" s="3" t="s">
        <v>92</v>
      </c>
      <c r="J3" s="3" t="s">
        <v>16</v>
      </c>
      <c r="K3" s="6" t="s">
        <v>188</v>
      </c>
      <c r="L3" s="6" t="s">
        <v>189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.75" hidden="false" customHeight="false" outlineLevel="0" collapsed="false">
      <c r="A4" s="17" t="s">
        <v>190</v>
      </c>
      <c r="B4" s="3" t="e">
        <f aca="false">FLOOR(SUM(((#REF!)*100 * 1.7)),1)</f>
        <v>#REF!</v>
      </c>
      <c r="C4" s="3" t="s">
        <v>191</v>
      </c>
      <c r="D4" s="3" t="s">
        <v>192</v>
      </c>
      <c r="E4" s="3" t="s">
        <v>23</v>
      </c>
      <c r="F4" s="3" t="s">
        <v>86</v>
      </c>
      <c r="G4" s="3" t="s">
        <v>193</v>
      </c>
      <c r="H4" s="3" t="s">
        <v>111</v>
      </c>
      <c r="I4" s="3" t="s">
        <v>112</v>
      </c>
      <c r="J4" s="3" t="s">
        <v>78</v>
      </c>
      <c r="K4" s="6" t="s">
        <v>194</v>
      </c>
      <c r="L4" s="6" t="s">
        <v>195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false" outlineLevel="0" collapsed="false">
      <c r="A5" s="17" t="s">
        <v>196</v>
      </c>
      <c r="B5" s="3" t="e">
        <f aca="false">FLOOR(SUM(((#REF!)*100 * 1.75)),1)</f>
        <v>#REF!</v>
      </c>
      <c r="C5" s="3"/>
      <c r="D5" s="3" t="s">
        <v>197</v>
      </c>
      <c r="E5" s="3" t="s">
        <v>178</v>
      </c>
      <c r="F5" s="3" t="s">
        <v>86</v>
      </c>
      <c r="G5" s="3" t="s">
        <v>198</v>
      </c>
      <c r="H5" s="3" t="s">
        <v>199</v>
      </c>
      <c r="I5" s="3" t="s">
        <v>112</v>
      </c>
      <c r="J5" s="3" t="s">
        <v>78</v>
      </c>
      <c r="K5" s="6" t="s">
        <v>200</v>
      </c>
      <c r="L5" s="6" t="s">
        <v>201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false" outlineLevel="0" collapsed="false">
      <c r="A6" s="17" t="s">
        <v>202</v>
      </c>
      <c r="B6" s="3" t="n">
        <v>697</v>
      </c>
      <c r="C6" s="3" t="n">
        <f aca="false">FLOOR(SUM((('N.E SUITON'!B6)*0.1)),1)</f>
        <v>69</v>
      </c>
      <c r="D6" s="3" t="s">
        <v>203</v>
      </c>
      <c r="E6" s="3" t="s">
        <v>178</v>
      </c>
      <c r="F6" s="3" t="s">
        <v>86</v>
      </c>
      <c r="G6" s="3" t="s">
        <v>103</v>
      </c>
      <c r="H6" s="3" t="s">
        <v>124</v>
      </c>
      <c r="I6" s="3" t="s">
        <v>112</v>
      </c>
      <c r="J6" s="3" t="s">
        <v>16</v>
      </c>
      <c r="K6" s="6" t="s">
        <v>204</v>
      </c>
      <c r="L6" s="6" t="s">
        <v>205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.75" hidden="false" customHeight="false" outlineLevel="0" collapsed="false">
      <c r="A7" s="17"/>
      <c r="B7" s="3"/>
      <c r="C7" s="3"/>
      <c r="D7" s="3"/>
      <c r="E7" s="3"/>
      <c r="F7" s="3"/>
      <c r="G7" s="3"/>
      <c r="H7" s="3"/>
      <c r="I7" s="3"/>
      <c r="J7" s="3"/>
      <c r="K7" s="6"/>
      <c r="L7" s="6"/>
    </row>
    <row r="8" customFormat="false" ht="15.75" hidden="false" customHeight="false" outlineLevel="0" collapsed="false">
      <c r="A8" s="17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17"/>
      <c r="B9" s="3"/>
      <c r="C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17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17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17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17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17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2" min="2" style="0" width="16.89"/>
    <col collapsed="false" customWidth="true" hidden="false" outlineLevel="0" max="4" min="4" style="0" width="19.25"/>
    <col collapsed="false" customWidth="true" hidden="false" outlineLevel="0" max="6" min="5" style="0" width="23.75"/>
    <col collapsed="false" customWidth="true" hidden="false" outlineLevel="0" max="7" min="7" style="0" width="22.75"/>
    <col collapsed="false" customWidth="true" hidden="false" outlineLevel="0" max="11" min="11" style="0" width="84.38"/>
    <col collapsed="false" customWidth="true" hidden="false" outlineLevel="0" max="12" min="12" style="0" width="119.88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21.6" hidden="false" customHeight="false" outlineLevel="0" collapsed="false">
      <c r="A2" s="18" t="s">
        <v>206</v>
      </c>
      <c r="B2" s="3" t="e">
        <f aca="false">FLOOR(SUM(((#REF!)*100 * 1.5)),1)</f>
        <v>#REF!</v>
      </c>
      <c r="C2" s="3"/>
      <c r="D2" s="6"/>
      <c r="E2" s="3" t="s">
        <v>207</v>
      </c>
      <c r="F2" s="3" t="s">
        <v>86</v>
      </c>
      <c r="G2" s="3" t="s">
        <v>24</v>
      </c>
      <c r="H2" s="3" t="s">
        <v>180</v>
      </c>
      <c r="I2" s="3" t="s">
        <v>92</v>
      </c>
      <c r="J2" s="3" t="s">
        <v>78</v>
      </c>
      <c r="K2" s="6" t="s">
        <v>208</v>
      </c>
      <c r="L2" s="19" t="s">
        <v>209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32.8" hidden="false" customHeight="false" outlineLevel="0" collapsed="false">
      <c r="A3" s="18" t="s">
        <v>210</v>
      </c>
      <c r="B3" s="10" t="s">
        <v>211</v>
      </c>
      <c r="C3" s="20" t="s">
        <v>212</v>
      </c>
      <c r="D3" s="3" t="s">
        <v>213</v>
      </c>
      <c r="E3" s="3" t="s">
        <v>12</v>
      </c>
      <c r="F3" s="3" t="s">
        <v>86</v>
      </c>
      <c r="G3" s="3" t="s">
        <v>214</v>
      </c>
      <c r="H3" s="3" t="s">
        <v>180</v>
      </c>
      <c r="I3" s="3" t="s">
        <v>92</v>
      </c>
      <c r="J3" s="3" t="s">
        <v>78</v>
      </c>
      <c r="K3" s="6" t="s">
        <v>215</v>
      </c>
      <c r="L3" s="14" t="s">
        <v>216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94.75" hidden="false" customHeight="false" outlineLevel="0" collapsed="false">
      <c r="A4" s="18" t="s">
        <v>217</v>
      </c>
      <c r="B4" s="3" t="e">
        <f aca="false">FLOOR(SUM(((#REF!)*100 * 1.05)),1)</f>
        <v>#REF!</v>
      </c>
      <c r="C4" s="3" t="s">
        <v>184</v>
      </c>
      <c r="D4" s="10" t="s">
        <v>185</v>
      </c>
      <c r="E4" s="3" t="s">
        <v>186</v>
      </c>
      <c r="F4" s="3" t="s">
        <v>86</v>
      </c>
      <c r="G4" s="3" t="s">
        <v>218</v>
      </c>
      <c r="H4" s="3" t="s">
        <v>124</v>
      </c>
      <c r="I4" s="3" t="s">
        <v>92</v>
      </c>
      <c r="J4" s="3" t="s">
        <v>78</v>
      </c>
      <c r="K4" s="6" t="s">
        <v>219</v>
      </c>
      <c r="L4" s="9" t="s">
        <v>220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false" outlineLevel="0" collapsed="false">
      <c r="A5" s="18" t="s">
        <v>221</v>
      </c>
      <c r="B5" s="3" t="e">
        <f aca="false">FLOOR(SUM(((#REF!)*100 * 1.4)),1)</f>
        <v>#REF!</v>
      </c>
      <c r="C5" s="3" t="e">
        <f aca="false">FLOOR(SUM((('N.E DOTON'!B5)*0.1)),1)</f>
        <v>#REF!</v>
      </c>
      <c r="D5" s="3" t="s">
        <v>222</v>
      </c>
      <c r="E5" s="3" t="s">
        <v>12</v>
      </c>
      <c r="F5" s="3" t="s">
        <v>86</v>
      </c>
      <c r="G5" s="3" t="s">
        <v>223</v>
      </c>
      <c r="H5" s="3" t="s">
        <v>111</v>
      </c>
      <c r="I5" s="3" t="s">
        <v>92</v>
      </c>
      <c r="J5" s="3" t="s">
        <v>78</v>
      </c>
      <c r="K5" s="6" t="s">
        <v>224</v>
      </c>
      <c r="L5" s="6" t="s">
        <v>225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false" outlineLevel="0" collapsed="false">
      <c r="A6" s="18" t="s">
        <v>226</v>
      </c>
      <c r="B6" s="3" t="s">
        <v>227</v>
      </c>
      <c r="C6" s="3" t="s">
        <v>228</v>
      </c>
      <c r="D6" s="3"/>
      <c r="E6" s="3" t="s">
        <v>12</v>
      </c>
      <c r="F6" s="3" t="s">
        <v>86</v>
      </c>
      <c r="G6" s="3" t="s">
        <v>229</v>
      </c>
      <c r="H6" s="3" t="s">
        <v>119</v>
      </c>
      <c r="I6" s="3" t="s">
        <v>92</v>
      </c>
      <c r="J6" s="3" t="s">
        <v>78</v>
      </c>
      <c r="K6" s="6" t="s">
        <v>230</v>
      </c>
      <c r="L6" s="6" t="s">
        <v>231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72.35" hidden="false" customHeight="false" outlineLevel="0" collapsed="false">
      <c r="A7" s="18" t="s">
        <v>232</v>
      </c>
      <c r="B7" s="10" t="s">
        <v>233</v>
      </c>
      <c r="C7" s="3"/>
      <c r="D7" s="3"/>
      <c r="E7" s="3" t="s">
        <v>117</v>
      </c>
      <c r="F7" s="3" t="s">
        <v>86</v>
      </c>
      <c r="G7" s="3" t="s">
        <v>193</v>
      </c>
      <c r="H7" s="3" t="s">
        <v>234</v>
      </c>
      <c r="I7" s="3" t="s">
        <v>92</v>
      </c>
      <c r="J7" s="3" t="s">
        <v>78</v>
      </c>
      <c r="K7" s="6" t="s">
        <v>235</v>
      </c>
      <c r="L7" s="6" t="s">
        <v>236</v>
      </c>
    </row>
    <row r="8" customFormat="false" ht="375.35" hidden="false" customHeight="false" outlineLevel="0" collapsed="false">
      <c r="A8" s="18" t="s">
        <v>237</v>
      </c>
      <c r="B8" s="3" t="e">
        <f aca="false">FLOOR(SUM(((#REF!)*100 * 1.8)),1)</f>
        <v>#REF!</v>
      </c>
      <c r="C8" s="3" t="s">
        <v>238</v>
      </c>
      <c r="D8" s="3"/>
      <c r="E8" s="3" t="s">
        <v>91</v>
      </c>
      <c r="F8" s="3" t="s">
        <v>86</v>
      </c>
      <c r="G8" s="3" t="s">
        <v>239</v>
      </c>
      <c r="H8" s="3" t="s">
        <v>199</v>
      </c>
      <c r="I8" s="3" t="s">
        <v>112</v>
      </c>
      <c r="J8" s="3" t="s">
        <v>78</v>
      </c>
      <c r="K8" s="14" t="s">
        <v>240</v>
      </c>
      <c r="L8" s="14" t="s">
        <v>241</v>
      </c>
    </row>
    <row r="9" customFormat="false" ht="15.75" hidden="false" customHeight="false" outlineLevel="0" collapsed="false">
      <c r="A9" s="18"/>
      <c r="B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18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18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18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18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18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customFormat="false" ht="15.75" hidden="false" customHeight="false" outlineLevel="0" collapsed="false">
      <c r="A15" s="18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3" min="3" style="0" width="15.51"/>
    <col collapsed="false" customWidth="true" hidden="false" outlineLevel="0" max="4" min="4" style="0" width="16.38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06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12" t="s">
        <v>242</v>
      </c>
      <c r="B2" s="3" t="e">
        <f aca="false">FLOOR(SUM(((#REF!)*100 * 1.4)),1)</f>
        <v>#REF!</v>
      </c>
      <c r="C2" s="3" t="s">
        <v>243</v>
      </c>
      <c r="D2" s="6"/>
      <c r="E2" s="3" t="s">
        <v>12</v>
      </c>
      <c r="F2" s="3" t="s">
        <v>86</v>
      </c>
      <c r="G2" s="3" t="s">
        <v>193</v>
      </c>
      <c r="H2" s="3" t="s">
        <v>180</v>
      </c>
      <c r="I2" s="3" t="s">
        <v>92</v>
      </c>
      <c r="J2" s="3" t="s">
        <v>78</v>
      </c>
      <c r="K2" s="6" t="s">
        <v>244</v>
      </c>
      <c r="L2" s="9" t="s">
        <v>245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258.2" hidden="false" customHeight="false" outlineLevel="0" collapsed="false">
      <c r="A3" s="12" t="s">
        <v>246</v>
      </c>
      <c r="B3" s="3" t="n">
        <v>495</v>
      </c>
      <c r="C3" s="3" t="s">
        <v>247</v>
      </c>
      <c r="D3" s="3" t="s">
        <v>248</v>
      </c>
      <c r="E3" s="3" t="s">
        <v>186</v>
      </c>
      <c r="F3" s="3" t="s">
        <v>86</v>
      </c>
      <c r="G3" s="3" t="s">
        <v>13</v>
      </c>
      <c r="H3" s="3" t="s">
        <v>124</v>
      </c>
      <c r="I3" s="3" t="s">
        <v>92</v>
      </c>
      <c r="J3" s="3" t="s">
        <v>78</v>
      </c>
      <c r="K3" s="6" t="s">
        <v>249</v>
      </c>
      <c r="L3" s="14" t="s">
        <v>250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31.3" hidden="false" customHeight="false" outlineLevel="0" collapsed="false">
      <c r="A4" s="12" t="s">
        <v>251</v>
      </c>
      <c r="B4" s="3" t="e">
        <f aca="false">FLOOR(SUM(((#REF!)*100 * 1.3)),1)</f>
        <v>#REF!</v>
      </c>
      <c r="C4" s="3" t="s">
        <v>243</v>
      </c>
      <c r="D4" s="6"/>
      <c r="E4" s="3" t="s">
        <v>252</v>
      </c>
      <c r="F4" s="3" t="s">
        <v>86</v>
      </c>
      <c r="G4" s="3" t="s">
        <v>229</v>
      </c>
      <c r="H4" s="3" t="s">
        <v>119</v>
      </c>
      <c r="I4" s="3" t="s">
        <v>92</v>
      </c>
      <c r="J4" s="3" t="s">
        <v>16</v>
      </c>
      <c r="K4" s="6" t="s">
        <v>253</v>
      </c>
      <c r="L4" s="14" t="s">
        <v>254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210.4" hidden="false" customHeight="false" outlineLevel="0" collapsed="false">
      <c r="A5" s="12" t="s">
        <v>255</v>
      </c>
      <c r="B5" s="3" t="e">
        <f aca="false">FLOOR(SUM(((#REF!)*100 * 1.55)),1)</f>
        <v>#REF!</v>
      </c>
      <c r="C5" s="3" t="s">
        <v>256</v>
      </c>
      <c r="D5" s="10" t="s">
        <v>257</v>
      </c>
      <c r="E5" s="3" t="s">
        <v>12</v>
      </c>
      <c r="F5" s="3" t="s">
        <v>86</v>
      </c>
      <c r="G5" s="3" t="s">
        <v>258</v>
      </c>
      <c r="H5" s="3" t="s">
        <v>124</v>
      </c>
      <c r="I5" s="3" t="s">
        <v>92</v>
      </c>
      <c r="J5" s="3" t="s">
        <v>78</v>
      </c>
      <c r="K5" s="6" t="s">
        <v>259</v>
      </c>
      <c r="L5" s="14" t="s">
        <v>260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false" outlineLevel="0" collapsed="false">
      <c r="A6" s="12" t="s">
        <v>261</v>
      </c>
      <c r="B6" s="3" t="e">
        <f aca="false">FLOOR(SUM(((#REF!)*100 * 1.65)),1)</f>
        <v>#REF!</v>
      </c>
      <c r="C6" s="3" t="s">
        <v>256</v>
      </c>
      <c r="D6" s="3" t="s">
        <v>262</v>
      </c>
      <c r="E6" s="3" t="s">
        <v>12</v>
      </c>
      <c r="F6" s="3" t="s">
        <v>86</v>
      </c>
      <c r="G6" s="3" t="s">
        <v>263</v>
      </c>
      <c r="H6" s="3" t="s">
        <v>199</v>
      </c>
      <c r="I6" s="3" t="s">
        <v>112</v>
      </c>
      <c r="J6" s="3" t="s">
        <v>78</v>
      </c>
      <c r="K6" s="6" t="s">
        <v>264</v>
      </c>
      <c r="L6" s="6" t="s">
        <v>265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.75" hidden="false" customHeight="false" outlineLevel="0" collapsed="false">
      <c r="A7" s="12"/>
      <c r="B7" s="3"/>
      <c r="C7" s="3"/>
      <c r="D7" s="3"/>
      <c r="E7" s="3"/>
      <c r="F7" s="3"/>
      <c r="G7" s="3"/>
      <c r="H7" s="3"/>
      <c r="I7" s="3"/>
      <c r="J7" s="3"/>
      <c r="K7" s="6"/>
      <c r="L7" s="6"/>
    </row>
    <row r="8" customFormat="false" ht="15.75" hidden="false" customHeight="false" outlineLevel="0" collapsed="false">
      <c r="A8" s="12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12"/>
      <c r="B9" s="3"/>
      <c r="C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12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12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12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12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12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0" sqref="J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5" min="5" style="0" width="23.75"/>
    <col collapsed="false" customWidth="true" hidden="false" outlineLevel="0" max="10" min="10" style="0" width="88"/>
    <col collapsed="false" customWidth="true" hidden="false" outlineLevel="0" max="11" min="11" style="0" width="73.51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21" t="s">
        <v>266</v>
      </c>
      <c r="B2" s="3"/>
      <c r="C2" s="3"/>
      <c r="D2" s="3"/>
      <c r="E2" s="3"/>
      <c r="F2" s="3"/>
      <c r="G2" s="3"/>
      <c r="H2" s="3"/>
      <c r="I2" s="3"/>
      <c r="J2" s="6"/>
      <c r="K2" s="9"/>
    </row>
    <row r="3" customFormat="false" ht="15.75" hidden="false" customHeight="false" outlineLevel="0" collapsed="false">
      <c r="A3" s="21" t="s">
        <v>267</v>
      </c>
      <c r="B3" s="3"/>
      <c r="C3" s="3"/>
      <c r="D3" s="3"/>
      <c r="E3" s="3" t="s">
        <v>36</v>
      </c>
      <c r="F3" s="3" t="s">
        <v>268</v>
      </c>
      <c r="G3" s="3" t="s">
        <v>269</v>
      </c>
      <c r="H3" s="3" t="s">
        <v>159</v>
      </c>
      <c r="I3" s="3" t="s">
        <v>16</v>
      </c>
      <c r="J3" s="9" t="s">
        <v>270</v>
      </c>
      <c r="K3" s="9" t="s">
        <v>271</v>
      </c>
    </row>
    <row r="4" customFormat="false" ht="15.75" hidden="false" customHeight="false" outlineLevel="0" collapsed="false">
      <c r="A4" s="21" t="s">
        <v>272</v>
      </c>
      <c r="B4" s="3"/>
      <c r="E4" s="3" t="s">
        <v>36</v>
      </c>
      <c r="F4" s="3" t="s">
        <v>268</v>
      </c>
      <c r="G4" s="3" t="s">
        <v>147</v>
      </c>
      <c r="H4" s="3" t="s">
        <v>159</v>
      </c>
      <c r="I4" s="3" t="s">
        <v>78</v>
      </c>
      <c r="J4" s="9" t="s">
        <v>273</v>
      </c>
      <c r="K4" s="6" t="s">
        <v>274</v>
      </c>
    </row>
    <row r="5" customFormat="false" ht="15.75" hidden="false" customHeight="false" outlineLevel="0" collapsed="false">
      <c r="A5" s="21" t="s">
        <v>275</v>
      </c>
      <c r="E5" s="3"/>
      <c r="F5" s="3"/>
      <c r="G5" s="3"/>
      <c r="H5" s="3"/>
      <c r="I5" s="3"/>
      <c r="J5" s="6"/>
      <c r="K5" s="6"/>
    </row>
    <row r="6" customFormat="false" ht="318.65" hidden="false" customHeight="false" outlineLevel="0" collapsed="false">
      <c r="A6" s="21" t="s">
        <v>276</v>
      </c>
      <c r="E6" s="3" t="s">
        <v>36</v>
      </c>
      <c r="F6" s="10" t="s">
        <v>268</v>
      </c>
      <c r="G6" s="3" t="s">
        <v>277</v>
      </c>
      <c r="H6" s="3" t="s">
        <v>112</v>
      </c>
      <c r="I6" s="3" t="s">
        <v>16</v>
      </c>
      <c r="J6" s="6" t="s">
        <v>278</v>
      </c>
      <c r="K6" s="6" t="s">
        <v>279</v>
      </c>
    </row>
    <row r="7" customFormat="false" ht="15.75" hidden="false" customHeight="false" outlineLevel="0" collapsed="false">
      <c r="A7" s="21"/>
      <c r="E7" s="3"/>
      <c r="F7" s="3"/>
      <c r="G7" s="3"/>
      <c r="H7" s="3"/>
      <c r="I7" s="3"/>
      <c r="J7" s="6"/>
      <c r="K7" s="6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4" min="4" style="0" width="16.38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31.89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22" t="s">
        <v>280</v>
      </c>
      <c r="B2" s="3" t="e">
        <f aca="false">FLOOR(SUM(((#REF!)*100 * 1.6)),1)</f>
        <v>#REF!</v>
      </c>
      <c r="C2" s="3" t="e">
        <f aca="false">FLOOR(SUM((('N.E KATON'!B2)*0.1)),1)</f>
        <v>#REF!</v>
      </c>
      <c r="D2" s="6"/>
      <c r="E2" s="3" t="s">
        <v>178</v>
      </c>
      <c r="F2" s="3" t="s">
        <v>86</v>
      </c>
      <c r="G2" s="3" t="s">
        <v>281</v>
      </c>
      <c r="H2" s="3" t="s">
        <v>119</v>
      </c>
      <c r="I2" s="3" t="s">
        <v>92</v>
      </c>
      <c r="J2" s="3" t="s">
        <v>78</v>
      </c>
      <c r="K2" s="6" t="s">
        <v>282</v>
      </c>
      <c r="L2" s="9" t="s">
        <v>283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5.75" hidden="false" customHeight="false" outlineLevel="0" collapsed="false">
      <c r="A3" s="22" t="s">
        <v>284</v>
      </c>
      <c r="B3" s="3" t="e">
        <f aca="false">FLOOR(SUM(((#REF!)*100 * 1.15)),1)</f>
        <v>#REF!</v>
      </c>
      <c r="C3" s="3" t="e">
        <f aca="false">FLOOR(SUM((('N.E KATON'!B3)*0.1)),1)</f>
        <v>#REF!</v>
      </c>
      <c r="D3" s="3" t="s">
        <v>285</v>
      </c>
      <c r="E3" s="3" t="s">
        <v>186</v>
      </c>
      <c r="F3" s="3" t="s">
        <v>86</v>
      </c>
      <c r="G3" s="3" t="s">
        <v>13</v>
      </c>
      <c r="H3" s="3" t="s">
        <v>119</v>
      </c>
      <c r="I3" s="3" t="s">
        <v>92</v>
      </c>
      <c r="J3" s="3" t="s">
        <v>78</v>
      </c>
      <c r="K3" s="6" t="s">
        <v>286</v>
      </c>
      <c r="L3" s="6" t="s">
        <v>287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91.75" hidden="false" customHeight="false" outlineLevel="0" collapsed="false">
      <c r="A4" s="22" t="s">
        <v>288</v>
      </c>
      <c r="B4" s="3" t="e">
        <f aca="false">FLOOR(SUM(((#REF!)*100 * 1.55)),1)</f>
        <v>#REF!</v>
      </c>
      <c r="C4" s="3" t="e">
        <f aca="false">FLOOR(SUM((('N.E KATON'!B4)*0.1)),1)</f>
        <v>#REF!</v>
      </c>
      <c r="D4" s="6"/>
      <c r="E4" s="3" t="s">
        <v>178</v>
      </c>
      <c r="F4" s="3" t="s">
        <v>86</v>
      </c>
      <c r="G4" s="3" t="s">
        <v>193</v>
      </c>
      <c r="H4" s="3" t="s">
        <v>124</v>
      </c>
      <c r="I4" s="3" t="s">
        <v>112</v>
      </c>
      <c r="J4" s="3" t="s">
        <v>78</v>
      </c>
      <c r="K4" s="6" t="s">
        <v>289</v>
      </c>
      <c r="L4" s="14" t="s">
        <v>290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false" outlineLevel="0" collapsed="false">
      <c r="A5" s="22" t="s">
        <v>291</v>
      </c>
      <c r="B5" s="3" t="e">
        <f aca="false">FLOOR(SUM(((#REF!)*100 * 1.65)),1)</f>
        <v>#REF!</v>
      </c>
      <c r="C5" s="3" t="e">
        <f aca="false">FLOOR(SUM((('N.E KATON'!B5)*0.1)),1)</f>
        <v>#REF!</v>
      </c>
      <c r="D5" s="3" t="s">
        <v>197</v>
      </c>
      <c r="E5" s="3" t="s">
        <v>12</v>
      </c>
      <c r="F5" s="3" t="s">
        <v>86</v>
      </c>
      <c r="G5" s="3" t="s">
        <v>292</v>
      </c>
      <c r="H5" s="3" t="s">
        <v>111</v>
      </c>
      <c r="I5" s="3" t="s">
        <v>112</v>
      </c>
      <c r="J5" s="3" t="s">
        <v>78</v>
      </c>
      <c r="K5" s="6" t="s">
        <v>293</v>
      </c>
      <c r="L5" s="6" t="s">
        <v>294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false" outlineLevel="0" collapsed="false">
      <c r="A6" s="22" t="s">
        <v>295</v>
      </c>
      <c r="B6" s="3" t="e">
        <f aca="false">FLOOR(SUM(((#REF!)*100 * 1.75)),1)</f>
        <v>#REF!</v>
      </c>
      <c r="C6" s="3" t="e">
        <f aca="false">FLOOR(SUM((('N.E KATON'!B6)*0.1)),1)</f>
        <v>#REF!</v>
      </c>
      <c r="D6" s="3" t="s">
        <v>262</v>
      </c>
      <c r="E6" s="3" t="s">
        <v>12</v>
      </c>
      <c r="F6" s="3" t="s">
        <v>86</v>
      </c>
      <c r="G6" s="3" t="s">
        <v>263</v>
      </c>
      <c r="H6" s="3" t="s">
        <v>199</v>
      </c>
      <c r="I6" s="3" t="s">
        <v>112</v>
      </c>
      <c r="J6" s="3" t="s">
        <v>78</v>
      </c>
      <c r="K6" s="6" t="s">
        <v>296</v>
      </c>
      <c r="L6" s="6" t="s">
        <v>297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.75" hidden="false" customHeight="false" outlineLevel="0" collapsed="false">
      <c r="A7" s="22"/>
      <c r="B7" s="3"/>
      <c r="C7" s="3"/>
      <c r="D7" s="3"/>
      <c r="E7" s="3"/>
      <c r="F7" s="3"/>
      <c r="G7" s="3"/>
      <c r="H7" s="3"/>
      <c r="I7" s="3"/>
      <c r="J7" s="3"/>
      <c r="K7" s="6"/>
      <c r="L7" s="6"/>
    </row>
    <row r="8" customFormat="false" ht="15.75" hidden="false" customHeight="false" outlineLevel="0" collapsed="false">
      <c r="A8" s="22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22"/>
      <c r="B9" s="3"/>
      <c r="C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22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22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22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22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22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1" activeCellId="0" sqref="K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1.12"/>
    <col collapsed="false" customWidth="true" hidden="false" outlineLevel="0" max="3" min="3" style="0" width="14"/>
    <col collapsed="false" customWidth="true" hidden="false" outlineLevel="0" max="4" min="4" style="0" width="16.38"/>
    <col collapsed="false" customWidth="true" hidden="false" outlineLevel="0" max="6" min="5" style="0" width="23.75"/>
    <col collapsed="false" customWidth="true" hidden="false" outlineLevel="0" max="7" min="7" style="0" width="21.5"/>
    <col collapsed="false" customWidth="true" hidden="false" outlineLevel="0" max="11" min="11" style="0" width="84.38"/>
    <col collapsed="false" customWidth="true" hidden="false" outlineLevel="0" max="12" min="12" style="0" width="158.25"/>
    <col collapsed="false" customWidth="true" hidden="false" outlineLevel="0" max="16384" min="16384" style="0" width="11.53"/>
  </cols>
  <sheetData>
    <row r="1" customFormat="false" ht="15.75" hidden="false" customHeight="false" outlineLevel="0" collapsed="false">
      <c r="A1" s="1" t="s">
        <v>0</v>
      </c>
      <c r="B1" s="1" t="s">
        <v>80</v>
      </c>
      <c r="C1" s="1" t="s">
        <v>81</v>
      </c>
      <c r="D1" s="1" t="s">
        <v>82</v>
      </c>
      <c r="E1" s="1" t="s">
        <v>4</v>
      </c>
      <c r="F1" s="1" t="s">
        <v>83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customFormat="false" ht="15.75" hidden="false" customHeight="false" outlineLevel="0" collapsed="false">
      <c r="A2" s="23" t="s">
        <v>298</v>
      </c>
      <c r="B2" s="3" t="e">
        <f aca="false">FLOOR(SUM(((#REF!)*100 * 1.3)),1)</f>
        <v>#REF!</v>
      </c>
      <c r="C2" s="3"/>
      <c r="D2" s="6"/>
      <c r="E2" s="3" t="s">
        <v>299</v>
      </c>
      <c r="F2" s="3" t="s">
        <v>86</v>
      </c>
      <c r="G2" s="3" t="s">
        <v>13</v>
      </c>
      <c r="H2" s="3" t="s">
        <v>234</v>
      </c>
      <c r="I2" s="3" t="s">
        <v>15</v>
      </c>
      <c r="J2" s="3" t="s">
        <v>78</v>
      </c>
      <c r="K2" s="6" t="s">
        <v>300</v>
      </c>
      <c r="L2" s="9" t="s">
        <v>301</v>
      </c>
      <c r="M2" s="6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customFormat="false" ht="15.75" hidden="false" customHeight="false" outlineLevel="0" collapsed="false">
      <c r="A3" s="23" t="s">
        <v>302</v>
      </c>
      <c r="B3" s="3" t="e">
        <f aca="false">FLOOR(SUM(((#REF!)*100 * 1.35)),1)</f>
        <v>#REF!</v>
      </c>
      <c r="C3" s="3" t="s">
        <v>303</v>
      </c>
      <c r="D3" s="6"/>
      <c r="E3" s="3" t="s">
        <v>178</v>
      </c>
      <c r="F3" s="3" t="s">
        <v>86</v>
      </c>
      <c r="G3" s="3" t="s">
        <v>304</v>
      </c>
      <c r="H3" s="3" t="s">
        <v>119</v>
      </c>
      <c r="I3" s="3" t="s">
        <v>92</v>
      </c>
      <c r="J3" s="3" t="s">
        <v>78</v>
      </c>
      <c r="K3" s="6" t="s">
        <v>305</v>
      </c>
      <c r="L3" s="6" t="s">
        <v>306</v>
      </c>
      <c r="M3" s="6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customFormat="false" ht="15.75" hidden="false" customHeight="false" outlineLevel="0" collapsed="false">
      <c r="A4" s="23" t="s">
        <v>307</v>
      </c>
      <c r="B4" s="3" t="e">
        <f aca="false">FLOOR(SUM(((#REF!)*100 * 1.25)),1)</f>
        <v>#REF!</v>
      </c>
      <c r="C4" s="3" t="s">
        <v>308</v>
      </c>
      <c r="D4" s="6"/>
      <c r="E4" s="3" t="s">
        <v>309</v>
      </c>
      <c r="F4" s="3" t="s">
        <v>86</v>
      </c>
      <c r="G4" s="3" t="s">
        <v>187</v>
      </c>
      <c r="H4" s="3" t="s">
        <v>310</v>
      </c>
      <c r="I4" s="3" t="s">
        <v>92</v>
      </c>
      <c r="J4" s="3" t="s">
        <v>78</v>
      </c>
      <c r="K4" s="6" t="s">
        <v>311</v>
      </c>
      <c r="L4" s="6" t="s">
        <v>312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customFormat="false" ht="15.75" hidden="false" customHeight="false" outlineLevel="0" collapsed="false">
      <c r="A5" s="23" t="s">
        <v>313</v>
      </c>
      <c r="B5" s="3" t="e">
        <f aca="false">FLOOR(SUM(((#REF!)*100 * 1.4)),1)</f>
        <v>#REF!</v>
      </c>
      <c r="C5" s="3" t="s">
        <v>314</v>
      </c>
      <c r="D5" s="3"/>
      <c r="E5" s="3" t="s">
        <v>23</v>
      </c>
      <c r="F5" s="3" t="s">
        <v>86</v>
      </c>
      <c r="G5" s="3" t="s">
        <v>24</v>
      </c>
      <c r="H5" s="3" t="s">
        <v>119</v>
      </c>
      <c r="I5" s="3" t="s">
        <v>92</v>
      </c>
      <c r="J5" s="3" t="s">
        <v>78</v>
      </c>
      <c r="K5" s="6" t="s">
        <v>315</v>
      </c>
      <c r="L5" s="6" t="s">
        <v>316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customFormat="false" ht="15.75" hidden="false" customHeight="false" outlineLevel="0" collapsed="false">
      <c r="A6" s="23" t="s">
        <v>317</v>
      </c>
      <c r="B6" s="3" t="e">
        <f aca="false">FLOOR(SUM(((#REF!)*100 * 1.05)),1)</f>
        <v>#REF!</v>
      </c>
      <c r="C6" s="3" t="e">
        <f aca="false">FLOOR(SUM((('N.E FUUTON'!B6)*0.05)),1)</f>
        <v>#REF!</v>
      </c>
      <c r="D6" s="3"/>
      <c r="E6" s="3" t="s">
        <v>186</v>
      </c>
      <c r="F6" s="3" t="s">
        <v>86</v>
      </c>
      <c r="G6" s="3" t="s">
        <v>318</v>
      </c>
      <c r="H6" s="3" t="s">
        <v>124</v>
      </c>
      <c r="I6" s="3" t="s">
        <v>112</v>
      </c>
      <c r="J6" s="3" t="s">
        <v>78</v>
      </c>
      <c r="K6" s="6" t="s">
        <v>319</v>
      </c>
      <c r="L6" s="6" t="s">
        <v>320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customFormat="false" ht="15.75" hidden="false" customHeight="false" outlineLevel="0" collapsed="false">
      <c r="A7" s="23" t="s">
        <v>321</v>
      </c>
      <c r="B7" s="3" t="e">
        <f aca="false">FLOOR(SUM(((#REF!)*100 * 1.65)),1)</f>
        <v>#REF!</v>
      </c>
      <c r="C7" s="3" t="e">
        <f aca="false">FLOOR(SUM((('N.E FUUTON'!B7)*0.1)),1)</f>
        <v>#REF!</v>
      </c>
      <c r="D7" s="3" t="s">
        <v>322</v>
      </c>
      <c r="E7" s="3" t="s">
        <v>12</v>
      </c>
      <c r="F7" s="3" t="s">
        <v>86</v>
      </c>
      <c r="G7" s="3" t="s">
        <v>323</v>
      </c>
      <c r="H7" s="3" t="s">
        <v>199</v>
      </c>
      <c r="I7" s="3" t="s">
        <v>112</v>
      </c>
      <c r="J7" s="3" t="s">
        <v>78</v>
      </c>
      <c r="K7" s="6" t="s">
        <v>324</v>
      </c>
      <c r="L7" s="6" t="s">
        <v>325</v>
      </c>
    </row>
    <row r="8" customFormat="false" ht="15.75" hidden="false" customHeight="false" outlineLevel="0" collapsed="false">
      <c r="A8" s="23"/>
      <c r="B8" s="3"/>
      <c r="C8" s="3"/>
      <c r="D8" s="3"/>
      <c r="E8" s="3"/>
      <c r="F8" s="3"/>
      <c r="G8" s="3"/>
      <c r="H8" s="3"/>
      <c r="I8" s="3"/>
      <c r="J8" s="3"/>
      <c r="K8" s="6"/>
      <c r="L8" s="6"/>
    </row>
    <row r="9" customFormat="false" ht="15.75" hidden="false" customHeight="false" outlineLevel="0" collapsed="false">
      <c r="A9" s="23"/>
      <c r="B9" s="3"/>
      <c r="C9" s="3"/>
      <c r="D9" s="3"/>
      <c r="E9" s="3"/>
      <c r="F9" s="3"/>
      <c r="G9" s="3"/>
      <c r="H9" s="3"/>
      <c r="I9" s="3"/>
      <c r="J9" s="3"/>
      <c r="K9" s="6"/>
      <c r="L9" s="6"/>
    </row>
    <row r="10" customFormat="false" ht="15.75" hidden="false" customHeight="false" outlineLevel="0" collapsed="false">
      <c r="A10" s="23"/>
      <c r="B10" s="3"/>
      <c r="C10" s="3"/>
      <c r="D10" s="3"/>
      <c r="E10" s="3"/>
      <c r="F10" s="3"/>
      <c r="G10" s="3"/>
      <c r="H10" s="3"/>
      <c r="I10" s="3"/>
      <c r="J10" s="3"/>
      <c r="K10" s="6"/>
      <c r="L10" s="6"/>
    </row>
    <row r="11" customFormat="false" ht="15.75" hidden="false" customHeight="false" outlineLevel="0" collapsed="false">
      <c r="A11" s="23"/>
      <c r="B11" s="3"/>
      <c r="C11" s="3"/>
      <c r="D11" s="3"/>
      <c r="E11" s="3"/>
      <c r="F11" s="3"/>
      <c r="G11" s="3"/>
      <c r="H11" s="3"/>
      <c r="I11" s="3"/>
      <c r="J11" s="3"/>
      <c r="K11" s="6"/>
      <c r="L11" s="6"/>
    </row>
    <row r="12" customFormat="false" ht="15.75" hidden="false" customHeight="false" outlineLevel="0" collapsed="false">
      <c r="A12" s="23"/>
      <c r="B12" s="3"/>
      <c r="C12" s="3"/>
      <c r="D12" s="3"/>
      <c r="E12" s="3"/>
      <c r="F12" s="3"/>
      <c r="G12" s="3"/>
      <c r="H12" s="3"/>
      <c r="I12" s="3"/>
      <c r="J12" s="3"/>
      <c r="K12" s="6"/>
      <c r="L12" s="6"/>
    </row>
    <row r="13" customFormat="false" ht="15.75" hidden="false" customHeight="false" outlineLevel="0" collapsed="false">
      <c r="A13" s="23"/>
      <c r="B13" s="3"/>
      <c r="C13" s="3"/>
      <c r="D13" s="3"/>
      <c r="E13" s="3"/>
      <c r="F13" s="3"/>
      <c r="G13" s="3"/>
      <c r="H13" s="3"/>
      <c r="I13" s="3"/>
      <c r="J13" s="3"/>
      <c r="K13" s="6"/>
      <c r="L13" s="6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customFormat="false" ht="15.75" hidden="false" customHeight="false" outlineLevel="0" collapsed="false">
      <c r="A14" s="23"/>
      <c r="B14" s="3"/>
      <c r="C14" s="3"/>
      <c r="D14" s="3"/>
      <c r="E14" s="3"/>
      <c r="F14" s="3"/>
      <c r="G14" s="3"/>
      <c r="H14" s="3"/>
      <c r="I14" s="3"/>
      <c r="J14" s="3"/>
      <c r="K14" s="5"/>
      <c r="L14" s="16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2026-09-09T14:49:33Z</dcterms:modified>
  <cp:revision>1</cp:revision>
  <dc:subject/>
  <dc:title/>
</cp:coreProperties>
</file>